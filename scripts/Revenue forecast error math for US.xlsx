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6DE013DA-3D9D-EE45-9C1B-DF3692997FA8}" xr6:coauthVersionLast="47" xr6:coauthVersionMax="47" xr10:uidLastSave="{00000000-0000-0000-0000-000000000000}"/>
  <bookViews>
    <workbookView xWindow="1100" yWindow="900" windowWidth="28040" windowHeight="17180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3" l="1"/>
  <c r="D5" i="1"/>
  <c r="D6" i="1" s="1"/>
  <c r="D7" i="1" s="1"/>
  <c r="D8" i="1" s="1"/>
  <c r="D9" i="1" s="1"/>
  <c r="D10" i="1" s="1"/>
  <c r="D11" i="1" s="1"/>
  <c r="D12" i="1" s="1"/>
  <c r="D13" i="1" s="1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E6" i="1" l="1"/>
  <c r="E10" i="1"/>
  <c r="E9" i="1"/>
  <c r="E8" i="1"/>
  <c r="E7" i="1"/>
  <c r="E5" i="1"/>
  <c r="E4" i="1"/>
  <c r="F4" i="1"/>
  <c r="E13" i="1"/>
  <c r="E12" i="1"/>
  <c r="E11" i="1"/>
  <c r="C5" i="1"/>
  <c r="F5" i="1" l="1"/>
  <c r="F6" i="1" s="1"/>
  <c r="F7" i="1" s="1"/>
  <c r="F8" i="1" s="1"/>
  <c r="F9" i="1" s="1"/>
  <c r="F10" i="1" s="1"/>
  <c r="F11" i="1" s="1"/>
  <c r="F14" i="1"/>
  <c r="F12" i="1"/>
  <c r="F13" i="1" s="1"/>
  <c r="C6" i="1"/>
  <c r="C7" i="1" s="1"/>
  <c r="C8" i="1" s="1"/>
  <c r="C9" i="1" s="1"/>
  <c r="C10" i="1" s="1"/>
  <c r="C11" i="1" s="1"/>
  <c r="C12" i="1" s="1"/>
  <c r="C13" i="1" s="1"/>
  <c r="C14" i="1" l="1"/>
  <c r="G14" i="1" s="1"/>
  <c r="H14" i="1" s="1"/>
</calcChain>
</file>

<file path=xl/sharedStrings.xml><?xml version="1.0" encoding="utf-8"?>
<sst xmlns="http://schemas.openxmlformats.org/spreadsheetml/2006/main" count="17" uniqueCount="17">
  <si>
    <t>Year</t>
  </si>
  <si>
    <t>sum</t>
  </si>
  <si>
    <t>growth error</t>
  </si>
  <si>
    <t>GDP, forecast w error error</t>
  </si>
  <si>
    <t>.0009 Case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</si>
  <si>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</si>
  <si>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</si>
  <si>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</si>
  <si>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</si>
  <si>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 xml:space="preserve">Delta revenues </t>
  </si>
  <si>
    <t>Step 1</t>
  </si>
  <si>
    <t>Step 2</t>
  </si>
  <si>
    <t>Sum the forecast error to get cumulative error in GDP over 10 years</t>
  </si>
  <si>
    <t>Step</t>
  </si>
  <si>
    <t>Assume tax revenues are 1/5 of GDP to arrive at ~approximate~ forecast error in government revenue terms</t>
  </si>
  <si>
    <t>GDP, true DGP, $T$</t>
  </si>
  <si>
    <t>Assumed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</si>
</sst>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2">
    <font>
      <sz val="12"/>
      <color theme="1"/>
      <name val="Aptos Narrow"/>
      <family val="2"/>
      <scheme val="minor"/>
    </font>
    <font>
      <sz val="14"/>
      <color rgb="FF000000"/>
      <name val="-webkit-standar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7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H19"/>
  <sheetViews>
    <sheetView tabSelected="1" workbookViewId="0">
      <selection activeCell="E5" sqref="E5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1.6640625" bestFit="1" customWidth="1"/>
  </cols>
  <sheetData>
    <row r="1" spans="1:8">
      <c r="A1" t="s">
        <v>4</v>
      </c>
    </row>
    <row r="2" spans="1:8">
      <c r="A2" t="s">
        <v>0</v>
      </c>
      <c r="B2" t="s">
        <v>16</v>
      </c>
      <c r="C2" t="s">
        <v>15</v>
      </c>
      <c r="D2" t="s">
        <v>6</v>
      </c>
      <c r="E2" t="s">
        <v>2</v>
      </c>
      <c r="F2" t="s">
        <v>3</v>
      </c>
      <c r="G2" t="s">
        <v>8</v>
      </c>
      <c r="H2" t="s">
        <v>9</v>
      </c>
    </row>
    <row r="3" spans="1:8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8">
      <c r="A4" s="3">
        <f>A3+1</f>
        <v>1</v>
      </c>
      <c r="B4" s="2">
        <f>1.05</f>
        <v>1.05</v>
      </c>
      <c r="C4" s="2">
        <f>C3*B4</f>
        <v>31.5</v>
      </c>
      <c r="D4" s="2">
        <v>8.9999999999999998E-4</v>
      </c>
      <c r="E4" s="2">
        <f>B4-D4</f>
        <v>1.0491000000000001</v>
      </c>
      <c r="F4" s="2">
        <f>F3*E4</f>
        <v>31.473000000000006</v>
      </c>
      <c r="G4" s="2"/>
      <c r="H4" s="2"/>
    </row>
    <row r="5" spans="1:8">
      <c r="A5" s="3">
        <f t="shared" ref="A5:A12" si="0">A4+1</f>
        <v>2</v>
      </c>
      <c r="B5" s="2">
        <f t="shared" ref="B5:B13" si="1">1.05</f>
        <v>1.05</v>
      </c>
      <c r="C5" s="2">
        <f>C4*B5</f>
        <v>33.075000000000003</v>
      </c>
      <c r="D5" s="2">
        <f>D4</f>
        <v>8.9999999999999998E-4</v>
      </c>
      <c r="E5" s="2">
        <f>B5-D5</f>
        <v>1.0491000000000001</v>
      </c>
      <c r="F5" s="2">
        <f t="shared" ref="F5:F13" si="2">F4*E5</f>
        <v>33.01832430000001</v>
      </c>
      <c r="G5" s="2"/>
      <c r="H5" s="2"/>
    </row>
    <row r="6" spans="1:8">
      <c r="A6" s="3">
        <f t="shared" si="0"/>
        <v>3</v>
      </c>
      <c r="B6" s="2">
        <f t="shared" si="1"/>
        <v>1.05</v>
      </c>
      <c r="C6" s="2">
        <f>C5*B6</f>
        <v>34.728750000000005</v>
      </c>
      <c r="D6" s="2">
        <f t="shared" ref="D6:D13" si="3">D5</f>
        <v>8.9999999999999998E-4</v>
      </c>
      <c r="E6" s="2">
        <f>B6-D6</f>
        <v>1.0491000000000001</v>
      </c>
      <c r="F6" s="2">
        <f t="shared" si="2"/>
        <v>34.639524023130015</v>
      </c>
      <c r="G6" s="2"/>
      <c r="H6" s="2"/>
    </row>
    <row r="7" spans="1:8">
      <c r="A7" s="3">
        <f t="shared" si="0"/>
        <v>4</v>
      </c>
      <c r="B7" s="2">
        <f t="shared" si="1"/>
        <v>1.05</v>
      </c>
      <c r="C7" s="2">
        <f>C6*B7</f>
        <v>36.465187500000006</v>
      </c>
      <c r="D7" s="2">
        <f t="shared" si="3"/>
        <v>8.9999999999999998E-4</v>
      </c>
      <c r="E7" s="2">
        <f>B7-D7</f>
        <v>1.0491000000000001</v>
      </c>
      <c r="F7" s="2">
        <f t="shared" si="2"/>
        <v>36.340324652665707</v>
      </c>
      <c r="G7" s="2"/>
      <c r="H7" s="2"/>
    </row>
    <row r="8" spans="1:8">
      <c r="A8" s="3">
        <f t="shared" si="0"/>
        <v>5</v>
      </c>
      <c r="B8" s="2">
        <f t="shared" si="1"/>
        <v>1.05</v>
      </c>
      <c r="C8" s="2">
        <f>C7*B8</f>
        <v>38.288446875000005</v>
      </c>
      <c r="D8" s="2">
        <f t="shared" si="3"/>
        <v>8.9999999999999998E-4</v>
      </c>
      <c r="E8" s="2">
        <f>B8-D8</f>
        <v>1.0491000000000001</v>
      </c>
      <c r="F8" s="2">
        <f t="shared" si="2"/>
        <v>38.124634593111601</v>
      </c>
      <c r="G8" s="2"/>
      <c r="H8" s="2"/>
    </row>
    <row r="9" spans="1:8">
      <c r="A9" s="3">
        <f t="shared" si="0"/>
        <v>6</v>
      </c>
      <c r="B9" s="2">
        <f t="shared" si="1"/>
        <v>1.05</v>
      </c>
      <c r="C9" s="2">
        <f>C8*B9</f>
        <v>40.20286921875001</v>
      </c>
      <c r="D9" s="2">
        <f t="shared" si="3"/>
        <v>8.9999999999999998E-4</v>
      </c>
      <c r="E9" s="2">
        <f>B9-D9</f>
        <v>1.0491000000000001</v>
      </c>
      <c r="F9" s="2">
        <f t="shared" si="2"/>
        <v>39.996554151633383</v>
      </c>
      <c r="G9" s="2"/>
      <c r="H9" s="2"/>
    </row>
    <row r="10" spans="1:8">
      <c r="A10" s="3">
        <f t="shared" si="0"/>
        <v>7</v>
      </c>
      <c r="B10" s="2">
        <f t="shared" si="1"/>
        <v>1.05</v>
      </c>
      <c r="C10" s="2">
        <f>C9*B10</f>
        <v>42.213012679687509</v>
      </c>
      <c r="D10" s="2">
        <f t="shared" si="3"/>
        <v>8.9999999999999998E-4</v>
      </c>
      <c r="E10" s="2">
        <f>B10-D10</f>
        <v>1.0491000000000001</v>
      </c>
      <c r="F10" s="2">
        <f t="shared" si="2"/>
        <v>41.960384960478585</v>
      </c>
      <c r="G10" s="2"/>
      <c r="H10" s="2"/>
    </row>
    <row r="11" spans="1:8">
      <c r="A11" s="3">
        <f t="shared" si="0"/>
        <v>8</v>
      </c>
      <c r="B11" s="2">
        <f t="shared" si="1"/>
        <v>1.05</v>
      </c>
      <c r="C11" s="2">
        <f>C10*B11</f>
        <v>44.323663313671886</v>
      </c>
      <c r="D11" s="2">
        <f t="shared" si="3"/>
        <v>8.9999999999999998E-4</v>
      </c>
      <c r="E11" s="2">
        <f>B11-D11</f>
        <v>1.0491000000000001</v>
      </c>
      <c r="F11" s="2">
        <f t="shared" si="2"/>
        <v>44.020639862038088</v>
      </c>
      <c r="G11" s="2"/>
      <c r="H11" s="2"/>
    </row>
    <row r="12" spans="1:8">
      <c r="A12" s="3">
        <f t="shared" si="0"/>
        <v>9</v>
      </c>
      <c r="B12" s="2">
        <f t="shared" si="1"/>
        <v>1.05</v>
      </c>
      <c r="C12" s="2">
        <f>C11*B12</f>
        <v>46.539846479355482</v>
      </c>
      <c r="D12" s="2">
        <f t="shared" si="3"/>
        <v>8.9999999999999998E-4</v>
      </c>
      <c r="E12" s="2">
        <f>B12-D12</f>
        <v>1.0491000000000001</v>
      </c>
      <c r="F12" s="2">
        <f t="shared" si="2"/>
        <v>46.182053279264167</v>
      </c>
      <c r="G12" s="2"/>
      <c r="H12" s="2"/>
    </row>
    <row r="13" spans="1:8">
      <c r="A13" s="3">
        <v>10</v>
      </c>
      <c r="B13" s="2">
        <f t="shared" si="1"/>
        <v>1.05</v>
      </c>
      <c r="C13" s="2">
        <f>C12*B13</f>
        <v>48.866838803323262</v>
      </c>
      <c r="D13" s="2">
        <f t="shared" si="3"/>
        <v>8.9999999999999998E-4</v>
      </c>
      <c r="E13" s="2">
        <f>B13-D13</f>
        <v>1.0491000000000001</v>
      </c>
      <c r="F13" s="2">
        <f t="shared" si="2"/>
        <v>48.449592095276046</v>
      </c>
      <c r="G13" s="2"/>
      <c r="H13" s="2"/>
    </row>
    <row r="14" spans="1:8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394.20503191759764</v>
      </c>
      <c r="G14" s="2">
        <f>C14-F14</f>
        <v>1.9985829521905885</v>
      </c>
      <c r="H14" s="2">
        <f>G14*0.2</f>
        <v>0.39971659043811769</v>
      </c>
    </row>
    <row r="17" spans="1:3">
      <c r="A17" t="s">
        <v>10</v>
      </c>
      <c r="C17" t="s">
        <v>7</v>
      </c>
    </row>
    <row r="18" spans="1:3">
      <c r="A18" t="s">
        <v>11</v>
      </c>
      <c r="C18" t="s">
        <v>12</v>
      </c>
    </row>
    <row r="19" spans="1:3">
      <c r="A19" t="s">
        <v>13</v>
      </c>
      <c r="C19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workbookViewId="0">
      <selection activeCell="N20" sqref="N20"/>
    </sheetView>
  </sheetViews>
  <sheetFormatPr baseColWidth="10" defaultRowHeight="16"/>
  <sheetData>
    <row r="19" spans="14:14">
      <c r="N19" t="s">
        <v>5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2026-03-11T00:00:29Z</dcterms:modified>
</cp:coreProperties>
</file>