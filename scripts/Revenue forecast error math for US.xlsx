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CD34253B-1CB9-DF44-B230-64DA2550458C}" xr6:coauthVersionLast="47" xr6:coauthVersionMax="47" xr10:uidLastSave="{00000000-0000-0000-0000-000000000000}"/>
  <bookViews>
    <workbookView xWindow="1080" yWindow="900" windowWidth="28040" windowHeight="17180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" l="1"/>
  <c r="M16" i="1"/>
  <c r="H14" i="1"/>
  <c r="M15" i="1"/>
  <c r="N20" i="3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E6" i="1" l="1"/>
  <c r="E10" i="1"/>
  <c r="E9" i="1"/>
  <c r="E8" i="1"/>
  <c r="E7" i="1"/>
  <c r="E5" i="1"/>
  <c r="E4" i="1"/>
  <c r="F4" i="1" s="1"/>
  <c r="E13" i="1"/>
  <c r="E12" i="1"/>
  <c r="E11" i="1"/>
  <c r="C5" i="1"/>
  <c r="F5" i="1" l="1"/>
  <c r="F6" i="1" s="1"/>
  <c r="F7" i="1" s="1"/>
  <c r="F8" i="1" s="1"/>
  <c r="F9" i="1" s="1"/>
  <c r="F10" i="1" s="1"/>
  <c r="F11" i="1" s="1"/>
  <c r="F12" i="1" s="1"/>
  <c r="F13" i="1" s="1"/>
  <c r="C6" i="1"/>
  <c r="C7" i="1" s="1"/>
  <c r="C8" i="1" s="1"/>
  <c r="C9" i="1" s="1"/>
  <c r="C10" i="1" s="1"/>
  <c r="C11" i="1" s="1"/>
  <c r="C12" i="1" s="1"/>
  <c r="C13" i="1" s="1"/>
  <c r="F14" i="1" l="1"/>
  <c r="C14" i="1"/>
  <c r="G14" i="1" l="1"/>
</calcChain>
</file>

<file path=xl/sharedStrings.xml><?xml version="1.0" encoding="utf-8"?>
<sst xmlns="http://schemas.openxmlformats.org/spreadsheetml/2006/main" count="28" uniqueCount="27">
  <si>
    <t>Year</t>
  </si>
  <si>
    <t>sum</t>
  </si>
  <si>
    <t>growth error</t>
  </si>
  <si>
    <t>GDP, forecast w error error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</si>
  <si>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</si>
  <si>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</si>
  <si>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</si>
  <si>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</si>
  <si>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>Step 1</t>
  </si>
  <si>
    <t>Step 2</t>
  </si>
  <si>
    <t>Sum the forecast error to get cumulative error in GDP over 10 years</t>
  </si>
  <si>
    <t>GDP, true DGP, $T$</t>
  </si>
  <si>
    <t>Assumed Growth</t>
  </si>
  <si>
    <t>Cost of  CAAA between 1970 and 1990</t>
  </si>
  <si>
    <t>https://fred.stlouisfed.org/series/A191RD3A086NBEA</t>
  </si>
  <si>
    <t>Step 3</t>
  </si>
  <si>
    <t>Inflate cumulative cost of CAAA between 1970 and 1990 to 2025 dollars using</t>
  </si>
  <si>
    <t>GDP Price 1990</t>
  </si>
  <si>
    <t>.00656 Case (order 7 bps annually)</t>
  </si>
  <si>
    <t>GDP Price 2025</t>
  </si>
  <si>
    <t>CAAA cost $2025</t>
  </si>
  <si>
    <t>Difference in Revenues</t>
  </si>
  <si>
    <t>deflator</t>
  </si>
  <si>
    <t>caaa cost</t>
  </si>
  <si>
    <t>https://www.epa.gov/sites/default/files/2015-06/documents/contsetc.pdf</t>
  </si>
  <si>
    <t>Ratio FE to cost</t>
  </si>
  <si>
    <t>Ratio revenue FE to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</si>
</sst>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9" formatCode="0.0000000"/>
  </numFmts>
  <fonts count="3">
    <font>
      <sz val="12"/>
      <color theme="1"/>
      <name val="Aptos Narrow"/>
      <family val="2"/>
      <scheme val="minor"/>
    </font>
    <font>
      <sz val="14"/>
      <color rgb="FF000000"/>
      <name val="-webkit-standard"/>
    </font>
    <font>
      <sz val="11"/>
      <color rgb="FF141413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M21"/>
  <sheetViews>
    <sheetView tabSelected="1" workbookViewId="0">
      <selection activeCell="D4" sqref="D4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9.83203125" bestFit="1" customWidth="1"/>
    <col min="9" max="9" width="31.83203125" bestFit="1" customWidth="1"/>
    <col min="12" max="12" width="13.6640625" bestFit="1" customWidth="1"/>
  </cols>
  <sheetData>
    <row r="1" spans="1:13">
      <c r="A1" t="s">
        <v>18</v>
      </c>
    </row>
    <row r="2" spans="1:13">
      <c r="A2" t="s">
        <v>0</v>
      </c>
      <c r="B2" t="s">
        <v>12</v>
      </c>
      <c r="C2" t="s">
        <v>11</v>
      </c>
      <c r="D2" t="s">
        <v>5</v>
      </c>
      <c r="E2" t="s">
        <v>2</v>
      </c>
      <c r="F2" t="s">
        <v>3</v>
      </c>
      <c r="G2" t="s">
        <v>7</v>
      </c>
      <c r="H2" t="s">
        <v>21</v>
      </c>
      <c r="I2" t="s">
        <v>13</v>
      </c>
    </row>
    <row r="3" spans="1:13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13">
      <c r="A4" s="3">
        <f>A3+1</f>
        <v>1</v>
      </c>
      <c r="B4" s="2">
        <f>1.05</f>
        <v>1.05</v>
      </c>
      <c r="C4" s="2">
        <f t="shared" ref="C4:C13" si="0">C3*B4</f>
        <v>31.5</v>
      </c>
      <c r="D4" s="4">
        <v>6.5640000000000002E-4</v>
      </c>
      <c r="E4" s="2">
        <f t="shared" ref="E4:E13" si="1">B4-D4</f>
        <v>1.0493436</v>
      </c>
      <c r="F4" s="2">
        <f>F3*E4</f>
        <v>31.480308000000001</v>
      </c>
      <c r="G4" s="2"/>
      <c r="H4" s="2"/>
    </row>
    <row r="5" spans="1:13">
      <c r="A5" s="3">
        <f t="shared" ref="A5:A12" si="2">A4+1</f>
        <v>2</v>
      </c>
      <c r="B5" s="2">
        <f t="shared" ref="B5:B13" si="3">1.05</f>
        <v>1.05</v>
      </c>
      <c r="C5" s="2">
        <f t="shared" si="0"/>
        <v>33.075000000000003</v>
      </c>
      <c r="D5" s="4">
        <v>6.5640000000000002E-4</v>
      </c>
      <c r="E5" s="2">
        <f t="shared" si="1"/>
        <v>1.0493436</v>
      </c>
      <c r="F5" s="2">
        <f t="shared" ref="F5:F13" si="4">F4*E5</f>
        <v>33.033659725828805</v>
      </c>
      <c r="G5" s="2"/>
      <c r="H5" s="2"/>
    </row>
    <row r="6" spans="1:13">
      <c r="A6" s="3">
        <f t="shared" si="2"/>
        <v>3</v>
      </c>
      <c r="B6" s="2">
        <f t="shared" si="3"/>
        <v>1.05</v>
      </c>
      <c r="C6" s="2">
        <f t="shared" si="0"/>
        <v>34.728750000000005</v>
      </c>
      <c r="D6" s="4">
        <v>6.5640000000000002E-4</v>
      </c>
      <c r="E6" s="2">
        <f t="shared" si="1"/>
        <v>1.0493436</v>
      </c>
      <c r="F6" s="2">
        <f t="shared" si="4"/>
        <v>34.663659417876211</v>
      </c>
      <c r="G6" s="2"/>
      <c r="H6" s="2"/>
    </row>
    <row r="7" spans="1:13">
      <c r="A7" s="3">
        <f t="shared" si="2"/>
        <v>4</v>
      </c>
      <c r="B7" s="2">
        <f t="shared" si="3"/>
        <v>1.05</v>
      </c>
      <c r="C7" s="2">
        <f t="shared" si="0"/>
        <v>36.465187500000006</v>
      </c>
      <c r="D7" s="4">
        <v>6.5640000000000002E-4</v>
      </c>
      <c r="E7" s="2">
        <f t="shared" si="1"/>
        <v>1.0493436</v>
      </c>
      <c r="F7" s="2">
        <f t="shared" si="4"/>
        <v>36.374089162728126</v>
      </c>
      <c r="G7" s="2"/>
      <c r="H7" s="2"/>
    </row>
    <row r="8" spans="1:13">
      <c r="A8" s="3">
        <f t="shared" si="2"/>
        <v>5</v>
      </c>
      <c r="B8" s="2">
        <f t="shared" si="3"/>
        <v>1.05</v>
      </c>
      <c r="C8" s="2">
        <f t="shared" si="0"/>
        <v>38.288446875000005</v>
      </c>
      <c r="D8" s="4">
        <v>6.5640000000000002E-4</v>
      </c>
      <c r="E8" s="2">
        <f t="shared" si="1"/>
        <v>1.0493436</v>
      </c>
      <c r="F8" s="2">
        <f t="shared" si="4"/>
        <v>38.168917668738118</v>
      </c>
      <c r="G8" s="2"/>
      <c r="H8" s="2"/>
    </row>
    <row r="9" spans="1:13">
      <c r="A9" s="3">
        <f t="shared" si="2"/>
        <v>6</v>
      </c>
      <c r="B9" s="2">
        <f t="shared" si="3"/>
        <v>1.05</v>
      </c>
      <c r="C9" s="2">
        <f t="shared" si="0"/>
        <v>40.20286921875001</v>
      </c>
      <c r="D9" s="4">
        <v>6.5640000000000002E-4</v>
      </c>
      <c r="E9" s="2">
        <f t="shared" si="1"/>
        <v>1.0493436</v>
      </c>
      <c r="F9" s="2">
        <f t="shared" si="4"/>
        <v>40.052309474617267</v>
      </c>
      <c r="G9" s="2"/>
      <c r="H9" s="2"/>
    </row>
    <row r="10" spans="1:13">
      <c r="A10" s="3">
        <f t="shared" si="2"/>
        <v>7</v>
      </c>
      <c r="B10" s="2">
        <f t="shared" si="3"/>
        <v>1.05</v>
      </c>
      <c r="C10" s="2">
        <f t="shared" si="0"/>
        <v>42.213012679687509</v>
      </c>
      <c r="D10" s="4">
        <v>6.5640000000000002E-4</v>
      </c>
      <c r="E10" s="2">
        <f t="shared" si="1"/>
        <v>1.0493436</v>
      </c>
      <c r="F10" s="2">
        <f t="shared" si="4"/>
        <v>42.028634612408993</v>
      </c>
      <c r="G10" s="2"/>
      <c r="H10" s="2"/>
    </row>
    <row r="11" spans="1:13">
      <c r="A11" s="3">
        <f t="shared" si="2"/>
        <v>8</v>
      </c>
      <c r="B11" s="2">
        <f t="shared" si="3"/>
        <v>1.05</v>
      </c>
      <c r="C11" s="2">
        <f t="shared" si="0"/>
        <v>44.323663313671886</v>
      </c>
      <c r="D11" s="4">
        <v>6.5640000000000002E-4</v>
      </c>
      <c r="E11" s="2">
        <f t="shared" si="1"/>
        <v>1.0493436</v>
      </c>
      <c r="F11" s="2">
        <f t="shared" si="4"/>
        <v>44.102478747269856</v>
      </c>
      <c r="G11" s="2"/>
      <c r="H11" s="2"/>
    </row>
    <row r="12" spans="1:13">
      <c r="A12" s="3">
        <f t="shared" si="2"/>
        <v>9</v>
      </c>
      <c r="B12" s="2">
        <f t="shared" si="3"/>
        <v>1.05</v>
      </c>
      <c r="C12" s="2">
        <f t="shared" si="0"/>
        <v>46.539846479355482</v>
      </c>
      <c r="D12" s="4">
        <v>6.5640000000000002E-4</v>
      </c>
      <c r="E12" s="2">
        <f t="shared" si="1"/>
        <v>1.0493436</v>
      </c>
      <c r="F12" s="2">
        <f t="shared" si="4"/>
        <v>46.278653817583645</v>
      </c>
      <c r="G12" s="2"/>
      <c r="H12" s="2"/>
      <c r="L12" t="s">
        <v>14</v>
      </c>
    </row>
    <row r="13" spans="1:13">
      <c r="A13" s="3">
        <v>10</v>
      </c>
      <c r="B13" s="2">
        <f t="shared" si="3"/>
        <v>1.05</v>
      </c>
      <c r="C13" s="2">
        <f t="shared" si="0"/>
        <v>48.866838803323262</v>
      </c>
      <c r="D13" s="4">
        <v>6.5640000000000002E-4</v>
      </c>
      <c r="E13" s="2">
        <f t="shared" si="1"/>
        <v>1.0493436</v>
      </c>
      <c r="F13" s="2">
        <f t="shared" si="4"/>
        <v>48.562209200096966</v>
      </c>
      <c r="G13" s="2"/>
      <c r="H13" s="2"/>
      <c r="L13" t="s">
        <v>17</v>
      </c>
      <c r="M13">
        <v>59.03</v>
      </c>
    </row>
    <row r="14" spans="1:13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394.74491982714795</v>
      </c>
      <c r="G14" s="2">
        <f>C14-F14</f>
        <v>1.4586950426402723</v>
      </c>
      <c r="H14" s="2">
        <f>G14*0.2</f>
        <v>0.29173900852805446</v>
      </c>
      <c r="I14" s="5">
        <v>0.52300000000000002</v>
      </c>
      <c r="L14" t="s">
        <v>19</v>
      </c>
      <c r="M14">
        <v>128.98599999999999</v>
      </c>
    </row>
    <row r="15" spans="1:13">
      <c r="L15" t="s">
        <v>20</v>
      </c>
      <c r="M15">
        <f>I14*M14/M13</f>
        <v>1.1428032864645095</v>
      </c>
    </row>
    <row r="16" spans="1:13">
      <c r="L16" t="s">
        <v>25</v>
      </c>
      <c r="M16">
        <f>H14/M15</f>
        <v>0.2552836625370648</v>
      </c>
    </row>
    <row r="17" spans="1:13">
      <c r="A17" t="s">
        <v>8</v>
      </c>
      <c r="C17" t="s">
        <v>6</v>
      </c>
      <c r="L17" t="s">
        <v>26</v>
      </c>
      <c r="M17">
        <f>H14/G14</f>
        <v>0.2</v>
      </c>
    </row>
    <row r="18" spans="1:13">
      <c r="A18" t="s">
        <v>9</v>
      </c>
      <c r="C18" t="s">
        <v>10</v>
      </c>
    </row>
    <row r="19" spans="1:13">
      <c r="A19" t="s">
        <v>15</v>
      </c>
      <c r="C19" t="s">
        <v>16</v>
      </c>
    </row>
    <row r="20" spans="1:13">
      <c r="B20" t="s">
        <v>22</v>
      </c>
      <c r="C20" t="s">
        <v>14</v>
      </c>
    </row>
    <row r="21" spans="1:13">
      <c r="B21" t="s">
        <v>23</v>
      </c>
      <c r="C2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workbookViewId="0">
      <selection activeCell="N20" sqref="N20"/>
    </sheetView>
  </sheetViews>
  <sheetFormatPr baseColWidth="10" defaultRowHeight="16"/>
  <sheetData>
    <row r="19" spans="14:14">
      <c r="N19" t="s">
        <v>4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2026-04-01T00:47:25Z</dcterms:modified>
</cp:coreProperties>
</file>