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bajian/Documents/GitHub/ACF_NK_Measurement/scripts/"/>
    </mc:Choice>
  </mc:AlternateContent>
  <xr:revisionPtr revIDLastSave="0" documentId="13_ncr:1_{AEF87830-23A7-9A43-A72D-0215B76332C0}" xr6:coauthVersionLast="47" xr6:coauthVersionMax="47" xr10:uidLastSave="{00000000-0000-0000-0000-000000000000}"/>
  <bookViews>
    <workbookView xWindow="1080" yWindow="900" windowWidth="28040" windowHeight="17180" xr2:uid="{8595BB93-C4CF-CF41-8EE4-01E47DE92020}"/>
  </bookViews>
  <sheets>
    <sheet name="RMSE Version" sheetId="1" r:id="rId1"/>
    <sheet name="Error from brand2017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4" i="1"/>
  <c r="C14" i="1"/>
  <c r="M15" i="1"/>
  <c r="N20" i="3"/>
  <c r="B5" i="1"/>
  <c r="B6" i="1"/>
  <c r="B7" i="1"/>
  <c r="B8" i="1"/>
  <c r="B9" i="1"/>
  <c r="B10" i="1"/>
  <c r="B11" i="1"/>
  <c r="B12" i="1"/>
  <c r="B13" i="1"/>
  <c r="B4" i="1"/>
  <c r="C4" i="1" s="1"/>
  <c r="F3" i="1"/>
  <c r="A4" i="1"/>
  <c r="A5" i="1" s="1"/>
  <c r="A6" i="1" s="1"/>
  <c r="A7" i="1" s="1"/>
  <c r="A8" i="1" s="1"/>
  <c r="A9" i="1" s="1"/>
  <c r="A10" i="1" s="1"/>
  <c r="A11" i="1" s="1"/>
  <c r="A12" i="1" s="1"/>
  <c r="F4" i="1" l="1"/>
  <c r="C5" i="1"/>
  <c r="F5" i="1" l="1"/>
  <c r="F6" i="1" s="1"/>
  <c r="F7" i="1" s="1"/>
  <c r="F8" i="1" s="1"/>
  <c r="F9" i="1" s="1"/>
  <c r="F10" i="1" s="1"/>
  <c r="F11" i="1" s="1"/>
  <c r="F12" i="1" s="1"/>
  <c r="F13" i="1" s="1"/>
  <c r="C6" i="1"/>
  <c r="C7" i="1" s="1"/>
  <c r="C8" i="1" s="1"/>
  <c r="C9" i="1" s="1"/>
  <c r="C10" i="1" s="1"/>
  <c r="C11" i="1" s="1"/>
  <c r="C12" i="1" s="1"/>
  <c r="C13" i="1" s="1"/>
  <c r="F14" i="1" l="1"/>
  <c r="G14" i="1" l="1"/>
  <c r="H14" i="1" s="1"/>
  <c r="M17" i="1" l="1"/>
  <c r="M16" i="1"/>
</calcChain>
</file>

<file path=xl/sharedStrings.xml><?xml version="1.0" encoding="utf-8"?>
<sst xmlns="http://schemas.openxmlformats.org/spreadsheetml/2006/main" count="28" uniqueCount="27">
  <si>
    <t>Year</t>
  </si>
  <si>
    <t>sum</t>
  </si>
  <si>
    <t>growth error</t>
  </si>
  <si>
    <t>GDP, forecast w error error</t>
  </si>
  <si>
    <t>Sum of absolute values in column 3</t>
  </si>
  <si>
    <t>measurement error in TFP growth</t>
  </si>
  <si>
    <t>Assume BL growth is 5%, suppose measurement error in TFP led us to spuriously believe growth was 4.91%, how much are we off in terms of GDP</t>
  </si>
  <si>
    <t>Dif ($Trillions)</t>
  </si>
  <si>
    <t>Step 1</t>
  </si>
  <si>
    <t>Step 2</t>
  </si>
  <si>
    <t>Sum the forecast error to get cumulative error in GDP over 10 years</t>
  </si>
  <si>
    <t>GDP, true DGP, $T$</t>
  </si>
  <si>
    <t>Assumed Growth</t>
  </si>
  <si>
    <t>Cost of  CAAA between 1970 and 1990</t>
  </si>
  <si>
    <t>https://fred.stlouisfed.org/series/A191RD3A086NBEA</t>
  </si>
  <si>
    <t>Step 3</t>
  </si>
  <si>
    <t>Inflate cumulative cost of CAAA between 1970 and 1990 to 2025 dollars using</t>
  </si>
  <si>
    <t>GDP Price 1990</t>
  </si>
  <si>
    <t>.00656 Case (order 7 bps annually)</t>
  </si>
  <si>
    <t>GDP Price 2025</t>
  </si>
  <si>
    <t>CAAA cost $2025</t>
  </si>
  <si>
    <t>Difference in Revenues</t>
  </si>
  <si>
    <t>deflator</t>
  </si>
  <si>
    <t>caaa cost</t>
  </si>
  <si>
    <t>https://www.epa.gov/sites/default/files/2015-06/documents/contsetc.pdf</t>
  </si>
  <si>
    <t>Ratio FE to cost</t>
  </si>
  <si>
    <t>Ratio revenue FE to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</si>
</sst>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3">
    <font>
      <sz val="12"/>
      <color theme="1"/>
      <name val="Aptos Narrow"/>
      <family val="2"/>
      <scheme val="minor"/>
    </font>
    <font>
      <sz val="14"/>
      <color rgb="FF000000"/>
      <name val="-webkit-standard"/>
    </font>
    <font>
      <sz val="11"/>
      <color rgb="FF141413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330200</xdr:colOff>
      <xdr:row>7</xdr:row>
      <xdr:rowOff>139700</xdr:rowOff>
    </xdr:from>
    <xdr:to>
      <xdr:col>12</xdr:col>
      <xdr:colOff>673100</xdr:colOff>
      <xdr:row>40</xdr:row>
      <xdr:rowOff>46878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54518-58DE-3E5A-6294-6B0E528A3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6700" y="1587500"/>
          <a:ext cx="7772400" cy="663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BFC7-236B-8E46-85A4-04D79EF549E8}">
  <dimension ref="A1:M21"/>
  <sheetViews>
    <sheetView tabSelected="1" topLeftCell="C1" workbookViewId="0">
      <selection activeCell="H5" sqref="H5"/>
    </sheetView>
  </sheetViews>
  <sheetFormatPr baseColWidth="10" defaultRowHeight="16"/>
  <cols>
    <col min="1" max="1" width="12.6640625" bestFit="1" customWidth="1"/>
    <col min="2" max="2" width="11.6640625" bestFit="1" customWidth="1"/>
    <col min="3" max="3" width="16" customWidth="1"/>
    <col min="4" max="4" width="28.1640625" bestFit="1" customWidth="1"/>
    <col min="5" max="5" width="24.33203125" customWidth="1"/>
    <col min="6" max="6" width="25.33203125" customWidth="1"/>
    <col min="7" max="7" width="12.6640625" bestFit="1" customWidth="1"/>
    <col min="8" max="8" width="19.83203125" bestFit="1" customWidth="1"/>
    <col min="9" max="9" width="31.83203125" bestFit="1" customWidth="1"/>
    <col min="12" max="12" width="13.6640625" bestFit="1" customWidth="1"/>
  </cols>
  <sheetData>
    <row r="1" spans="1:13">
      <c r="A1" t="s">
        <v>18</v>
      </c>
    </row>
    <row r="2" spans="1:13">
      <c r="A2" t="s">
        <v>0</v>
      </c>
      <c r="B2" t="s">
        <v>12</v>
      </c>
      <c r="C2" t="s">
        <v>11</v>
      </c>
      <c r="D2" t="s">
        <v>5</v>
      </c>
      <c r="E2" t="s">
        <v>2</v>
      </c>
      <c r="F2" t="s">
        <v>3</v>
      </c>
      <c r="G2" t="s">
        <v>7</v>
      </c>
      <c r="H2" t="s">
        <v>21</v>
      </c>
      <c r="I2" t="s">
        <v>13</v>
      </c>
    </row>
    <row r="3" spans="1:13">
      <c r="A3" s="3">
        <v>0</v>
      </c>
      <c r="B3" s="2"/>
      <c r="C3" s="2">
        <v>30</v>
      </c>
      <c r="D3" s="2"/>
      <c r="E3" s="2"/>
      <c r="F3" s="2">
        <f>C3</f>
        <v>30</v>
      </c>
      <c r="G3" s="2"/>
      <c r="H3" s="2"/>
    </row>
    <row r="4" spans="1:13">
      <c r="A4" s="3">
        <f>A3+1</f>
        <v>1</v>
      </c>
      <c r="B4" s="2">
        <f>1.05</f>
        <v>1.05</v>
      </c>
      <c r="C4" s="2">
        <f t="shared" ref="C4:C13" si="0">C3*B4</f>
        <v>31.5</v>
      </c>
      <c r="D4" s="4">
        <v>1.1647999999999999E-3</v>
      </c>
      <c r="E4" s="2">
        <f>B4+D4</f>
        <v>1.0511648</v>
      </c>
      <c r="F4" s="2">
        <f>F3*E4</f>
        <v>31.534943999999999</v>
      </c>
      <c r="G4" s="2"/>
      <c r="H4" s="2"/>
    </row>
    <row r="5" spans="1:13">
      <c r="A5" s="3">
        <f t="shared" ref="A5:A12" si="1">A4+1</f>
        <v>2</v>
      </c>
      <c r="B5" s="2">
        <f t="shared" ref="B5:B13" si="2">1.05</f>
        <v>1.05</v>
      </c>
      <c r="C5" s="2">
        <f t="shared" si="0"/>
        <v>33.075000000000003</v>
      </c>
      <c r="D5" s="4">
        <v>1.1647999999999999E-3</v>
      </c>
      <c r="E5" s="2">
        <f t="shared" ref="E5:E13" si="3">B5+D5</f>
        <v>1.0511648</v>
      </c>
      <c r="F5" s="2">
        <f t="shared" ref="F5:F13" si="4">F4*E5</f>
        <v>33.148423102771197</v>
      </c>
      <c r="G5" s="2"/>
      <c r="H5" s="2"/>
    </row>
    <row r="6" spans="1:13">
      <c r="A6" s="3">
        <f t="shared" si="1"/>
        <v>3</v>
      </c>
      <c r="B6" s="2">
        <f t="shared" si="2"/>
        <v>1.05</v>
      </c>
      <c r="C6" s="2">
        <f t="shared" si="0"/>
        <v>34.728750000000005</v>
      </c>
      <c r="D6" s="4">
        <v>1.1647999999999999E-3</v>
      </c>
      <c r="E6" s="2">
        <f t="shared" si="3"/>
        <v>1.0511648</v>
      </c>
      <c r="F6" s="2">
        <f t="shared" si="4"/>
        <v>34.844455541139865</v>
      </c>
      <c r="G6" s="2"/>
      <c r="H6" s="2"/>
    </row>
    <row r="7" spans="1:13">
      <c r="A7" s="3">
        <f t="shared" si="1"/>
        <v>4</v>
      </c>
      <c r="B7" s="2">
        <f t="shared" si="2"/>
        <v>1.05</v>
      </c>
      <c r="C7" s="2">
        <f t="shared" si="0"/>
        <v>36.465187500000006</v>
      </c>
      <c r="D7" s="4">
        <v>1.1647999999999999E-3</v>
      </c>
      <c r="E7" s="2">
        <f t="shared" si="3"/>
        <v>1.0511648</v>
      </c>
      <c r="F7" s="2">
        <f t="shared" si="4"/>
        <v>36.627265140011176</v>
      </c>
      <c r="G7" s="2"/>
      <c r="H7" s="2"/>
    </row>
    <row r="8" spans="1:13">
      <c r="A8" s="3">
        <f t="shared" si="1"/>
        <v>5</v>
      </c>
      <c r="B8" s="2">
        <f t="shared" si="2"/>
        <v>1.05</v>
      </c>
      <c r="C8" s="2">
        <f t="shared" si="0"/>
        <v>38.288446875000005</v>
      </c>
      <c r="D8" s="4">
        <v>1.1647999999999999E-3</v>
      </c>
      <c r="E8" s="2">
        <f t="shared" si="3"/>
        <v>1.0511648</v>
      </c>
      <c r="F8" s="2">
        <f t="shared" si="4"/>
        <v>38.501291835446821</v>
      </c>
      <c r="G8" s="2"/>
      <c r="H8" s="2"/>
    </row>
    <row r="9" spans="1:13">
      <c r="A9" s="3">
        <f t="shared" si="1"/>
        <v>6</v>
      </c>
      <c r="B9" s="2">
        <f t="shared" si="2"/>
        <v>1.05</v>
      </c>
      <c r="C9" s="2">
        <f t="shared" si="0"/>
        <v>40.20286921875001</v>
      </c>
      <c r="D9" s="4">
        <v>1.1647999999999999E-3</v>
      </c>
      <c r="E9" s="2">
        <f t="shared" si="3"/>
        <v>1.0511648</v>
      </c>
      <c r="F9" s="2">
        <f t="shared" si="4"/>
        <v>40.471202731949091</v>
      </c>
      <c r="G9" s="2"/>
      <c r="H9" s="2"/>
    </row>
    <row r="10" spans="1:13">
      <c r="A10" s="3">
        <f t="shared" si="1"/>
        <v>7</v>
      </c>
      <c r="B10" s="2">
        <f t="shared" si="2"/>
        <v>1.05</v>
      </c>
      <c r="C10" s="2">
        <f t="shared" si="0"/>
        <v>42.213012679687509</v>
      </c>
      <c r="D10" s="4">
        <v>1.1647999999999999E-3</v>
      </c>
      <c r="E10" s="2">
        <f t="shared" si="3"/>
        <v>1.0511648</v>
      </c>
      <c r="F10" s="2">
        <f t="shared" si="4"/>
        <v>42.541903725488723</v>
      </c>
      <c r="G10" s="2"/>
      <c r="H10" s="2"/>
    </row>
    <row r="11" spans="1:13">
      <c r="A11" s="3">
        <f t="shared" si="1"/>
        <v>8</v>
      </c>
      <c r="B11" s="2">
        <f t="shared" si="2"/>
        <v>1.05</v>
      </c>
      <c r="C11" s="2">
        <f t="shared" si="0"/>
        <v>44.323663313671886</v>
      </c>
      <c r="D11" s="4">
        <v>1.1647999999999999E-3</v>
      </c>
      <c r="E11" s="2">
        <f t="shared" si="3"/>
        <v>1.0511648</v>
      </c>
      <c r="F11" s="2">
        <f t="shared" si="4"/>
        <v>44.71855172122261</v>
      </c>
      <c r="G11" s="2"/>
      <c r="H11" s="2"/>
    </row>
    <row r="12" spans="1:13">
      <c r="A12" s="3">
        <f t="shared" si="1"/>
        <v>9</v>
      </c>
      <c r="B12" s="2">
        <f t="shared" si="2"/>
        <v>1.05</v>
      </c>
      <c r="C12" s="2">
        <f t="shared" si="0"/>
        <v>46.539846479355482</v>
      </c>
      <c r="D12" s="4">
        <v>1.1647999999999999E-3</v>
      </c>
      <c r="E12" s="2">
        <f t="shared" si="3"/>
        <v>1.0511648</v>
      </c>
      <c r="F12" s="2">
        <f t="shared" si="4"/>
        <v>47.00656747632862</v>
      </c>
      <c r="G12" s="2"/>
      <c r="H12" s="2"/>
      <c r="L12" t="s">
        <v>14</v>
      </c>
    </row>
    <row r="13" spans="1:13">
      <c r="A13" s="3">
        <v>10</v>
      </c>
      <c r="B13" s="2">
        <f t="shared" si="2"/>
        <v>1.05</v>
      </c>
      <c r="C13" s="2">
        <f t="shared" si="0"/>
        <v>48.866838803323262</v>
      </c>
      <c r="D13" s="4">
        <v>1.1647999999999999E-3</v>
      </c>
      <c r="E13" s="2">
        <f t="shared" si="3"/>
        <v>1.0511648</v>
      </c>
      <c r="F13" s="2">
        <f t="shared" si="4"/>
        <v>49.411649099941478</v>
      </c>
      <c r="G13" s="2"/>
      <c r="H13" s="2"/>
      <c r="L13" t="s">
        <v>17</v>
      </c>
      <c r="M13">
        <v>59.03</v>
      </c>
    </row>
    <row r="14" spans="1:13">
      <c r="A14" s="2" t="s">
        <v>1</v>
      </c>
      <c r="B14" s="2"/>
      <c r="C14" s="2">
        <f>SUM(C4:C13)</f>
        <v>396.20361486978823</v>
      </c>
      <c r="D14" s="2"/>
      <c r="E14" s="2"/>
      <c r="F14" s="2">
        <f>SUM(F4:F13)</f>
        <v>398.80625437429956</v>
      </c>
      <c r="G14" s="2">
        <f>C14-F14</f>
        <v>-2.6026395045113304</v>
      </c>
      <c r="H14" s="2">
        <f>G14*0.2</f>
        <v>-0.52052790090226608</v>
      </c>
      <c r="I14" s="5">
        <v>0.52300000000000002</v>
      </c>
      <c r="L14" t="s">
        <v>19</v>
      </c>
      <c r="M14">
        <v>128.98599999999999</v>
      </c>
    </row>
    <row r="15" spans="1:13">
      <c r="L15" t="s">
        <v>20</v>
      </c>
      <c r="M15">
        <f>I14*M14/M13</f>
        <v>1.1428032864645095</v>
      </c>
    </row>
    <row r="16" spans="1:13">
      <c r="L16" t="s">
        <v>25</v>
      </c>
      <c r="M16">
        <f>H14/M15</f>
        <v>-0.45548337764465419</v>
      </c>
    </row>
    <row r="17" spans="1:13">
      <c r="A17" t="s">
        <v>8</v>
      </c>
      <c r="C17" t="s">
        <v>6</v>
      </c>
      <c r="L17" t="s">
        <v>26</v>
      </c>
      <c r="M17">
        <f>H14/G14</f>
        <v>0.2</v>
      </c>
    </row>
    <row r="18" spans="1:13">
      <c r="A18" t="s">
        <v>9</v>
      </c>
      <c r="C18" t="s">
        <v>10</v>
      </c>
    </row>
    <row r="19" spans="1:13">
      <c r="A19" t="s">
        <v>15</v>
      </c>
      <c r="C19" t="s">
        <v>16</v>
      </c>
    </row>
    <row r="20" spans="1:13">
      <c r="B20" t="s">
        <v>22</v>
      </c>
      <c r="C20" t="s">
        <v>14</v>
      </c>
    </row>
    <row r="21" spans="1:13">
      <c r="B21" t="s">
        <v>23</v>
      </c>
      <c r="C2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FE4B-8F88-6049-9BF9-70919F4A9AAB}">
  <dimension ref="N19:N20"/>
  <sheetViews>
    <sheetView topLeftCell="A9" workbookViewId="0">
      <selection activeCell="N21" sqref="N21"/>
    </sheetView>
  </sheetViews>
  <sheetFormatPr baseColWidth="10" defaultRowHeight="16"/>
  <sheetData>
    <row r="19" spans="14:14">
      <c r="N19" t="s">
        <v>4</v>
      </c>
    </row>
    <row r="20" spans="14:14" ht="18">
      <c r="N20" s="1">
        <f xml:space="preserve"> 0.04 + 0.04 + 0.01 + 0.03 + 0.01 + 0.01 + 0.08 + 0.02 + 0.05 + 0.16 + 0.02 + 0.02</f>
        <v>0.4900000000000001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RMSE Version</vt:lpstr>
      <vt:lpstr>Error from brand2017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Abajian</dc:creator>
  <cp:lastModifiedBy>Xander Abajian</cp:lastModifiedBy>
  <dcterms:created xsi:type="dcterms:W3CDTF">2026-02-02T15:57:24Z</dcterms:created>
  <dcterms:modified xsi:type="dcterms:W3CDTF">2026-10-21T19:32:03Z</dcterms:modified>
</cp:coreProperties>
</file>