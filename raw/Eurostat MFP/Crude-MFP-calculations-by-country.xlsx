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tables/table5.xml" ContentType="application/vnd.openxmlformats-officedocument.spreadsheetml.table+xml"/>
  <Override PartName="/xl/comments5.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tables/table6.xml" ContentType="application/vnd.openxmlformats-officedocument.spreadsheetml.table+xml"/>
  <Override PartName="/xl/comments6.xml" ContentType="application/vnd.openxmlformats-officedocument.spreadsheetml.comments+xml"/>
  <Override PartName="/xl/charts/chart14.xml" ContentType="application/vnd.openxmlformats-officedocument.drawingml.chart+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tables/table7.xml" ContentType="application/vnd.openxmlformats-officedocument.spreadsheetml.table+xml"/>
  <Override PartName="/xl/comments7.xml" ContentType="application/vnd.openxmlformats-officedocument.spreadsheetml.comments+xml"/>
  <Override PartName="/xl/charts/chart16.xml" ContentType="application/vnd.openxmlformats-officedocument.drawingml.chart+xml"/>
  <Override PartName="/xl/charts/chart1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tables/table8.xml" ContentType="application/vnd.openxmlformats-officedocument.spreadsheetml.table+xml"/>
  <Override PartName="/xl/comments8.xml" ContentType="application/vnd.openxmlformats-officedocument.spreadsheetml.comments+xml"/>
  <Override PartName="/xl/charts/chart18.xml" ContentType="application/vnd.openxmlformats-officedocument.drawingml.chart+xml"/>
  <Override PartName="/xl/charts/chart1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tables/table9.xml" ContentType="application/vnd.openxmlformats-officedocument.spreadsheetml.table+xml"/>
  <Override PartName="/xl/comments9.xml" ContentType="application/vnd.openxmlformats-officedocument.spreadsheetml.comments+xml"/>
  <Override PartName="/xl/charts/chart20.xml" ContentType="application/vnd.openxmlformats-officedocument.drawingml.chart+xml"/>
  <Override PartName="/xl/charts/chart2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tables/table10.xml" ContentType="application/vnd.openxmlformats-officedocument.spreadsheetml.table+xml"/>
  <Override PartName="/xl/comments10.xml" ContentType="application/vnd.openxmlformats-officedocument.spreadsheetml.comments+xml"/>
  <Override PartName="/xl/charts/chart22.xml" ContentType="application/vnd.openxmlformats-officedocument.drawingml.chart+xml"/>
  <Override PartName="/xl/charts/chart2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tables/table11.xml" ContentType="application/vnd.openxmlformats-officedocument.spreadsheetml.table+xml"/>
  <Override PartName="/xl/comments11.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tables/table12.xml" ContentType="application/vnd.openxmlformats-officedocument.spreadsheetml.table+xml"/>
  <Override PartName="/xl/comments12.xml" ContentType="application/vnd.openxmlformats-officedocument.spreadsheetml.comments+xml"/>
  <Override PartName="/xl/charts/chart26.xml" ContentType="application/vnd.openxmlformats-officedocument.drawingml.chart+xml"/>
  <Override PartName="/xl/charts/chart2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5.xml" ContentType="application/vnd.openxmlformats-officedocument.drawing+xml"/>
  <Override PartName="/xl/tables/table13.xml" ContentType="application/vnd.openxmlformats-officedocument.spreadsheetml.table+xml"/>
  <Override PartName="/xl/comments13.xml" ContentType="application/vnd.openxmlformats-officedocument.spreadsheetml.comments+xml"/>
  <Override PartName="/xl/charts/chart28.xml" ContentType="application/vnd.openxmlformats-officedocument.drawingml.chart+xml"/>
  <Override PartName="/xl/charts/chart29.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tables/table14.xml" ContentType="application/vnd.openxmlformats-officedocument.spreadsheetml.table+xml"/>
  <Override PartName="/xl/comments14.xml" ContentType="application/vnd.openxmlformats-officedocument.spreadsheetml.comments+xml"/>
  <Override PartName="/xl/charts/chart30.xml" ContentType="application/vnd.openxmlformats-officedocument.drawingml.chart+xml"/>
  <Override PartName="/xl/charts/chart3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tables/table15.xml" ContentType="application/vnd.openxmlformats-officedocument.spreadsheetml.table+xml"/>
  <Override PartName="/xl/comments15.xml" ContentType="application/vnd.openxmlformats-officedocument.spreadsheetml.comments+xml"/>
  <Override PartName="/xl/charts/chart32.xml" ContentType="application/vnd.openxmlformats-officedocument.drawingml.chart+xml"/>
  <Override PartName="/xl/charts/chart33.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8.xml" ContentType="application/vnd.openxmlformats-officedocument.drawing+xml"/>
  <Override PartName="/xl/tables/table16.xml" ContentType="application/vnd.openxmlformats-officedocument.spreadsheetml.table+xml"/>
  <Override PartName="/xl/comments16.xml" ContentType="application/vnd.openxmlformats-officedocument.spreadsheetml.comments+xml"/>
  <Override PartName="/xl/charts/chart34.xml" ContentType="application/vnd.openxmlformats-officedocument.drawingml.chart+xml"/>
  <Override PartName="/xl/charts/chart3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9.xml" ContentType="application/vnd.openxmlformats-officedocument.drawing+xml"/>
  <Override PartName="/xl/tables/table17.xml" ContentType="application/vnd.openxmlformats-officedocument.spreadsheetml.table+xml"/>
  <Override PartName="/xl/comments17.xml" ContentType="application/vnd.openxmlformats-officedocument.spreadsheetml.comments+xml"/>
  <Override PartName="/xl/charts/chart36.xml" ContentType="application/vnd.openxmlformats-officedocument.drawingml.chart+xml"/>
  <Override PartName="/xl/charts/chart37.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0.xml" ContentType="application/vnd.openxmlformats-officedocument.drawing+xml"/>
  <Override PartName="/xl/tables/table18.xml" ContentType="application/vnd.openxmlformats-officedocument.spreadsheetml.table+xml"/>
  <Override PartName="/xl/comments18.xml" ContentType="application/vnd.openxmlformats-officedocument.spreadsheetml.comments+xml"/>
  <Override PartName="/xl/charts/chart38.xml" ContentType="application/vnd.openxmlformats-officedocument.drawingml.chart+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1.xml" ContentType="application/vnd.openxmlformats-officedocument.drawing+xml"/>
  <Override PartName="/xl/tables/table19.xml" ContentType="application/vnd.openxmlformats-officedocument.spreadsheetml.table+xml"/>
  <Override PartName="/xl/comments19.xml" ContentType="application/vnd.openxmlformats-officedocument.spreadsheetml.comments+xml"/>
  <Override PartName="/xl/charts/chart40.xml" ContentType="application/vnd.openxmlformats-officedocument.drawingml.chart+xml"/>
  <Override PartName="/xl/charts/chart4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2.xml" ContentType="application/vnd.openxmlformats-officedocument.drawing+xml"/>
  <Override PartName="/xl/tables/table20.xml" ContentType="application/vnd.openxmlformats-officedocument.spreadsheetml.table+xml"/>
  <Override PartName="/xl/comments20.xml" ContentType="application/vnd.openxmlformats-officedocument.spreadsheetml.comments+xml"/>
  <Override PartName="/xl/charts/chart42.xml" ContentType="application/vnd.openxmlformats-officedocument.drawingml.chart+xml"/>
  <Override PartName="/xl/charts/chart4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3.xml" ContentType="application/vnd.openxmlformats-officedocument.drawing+xml"/>
  <Override PartName="/xl/tables/table21.xml" ContentType="application/vnd.openxmlformats-officedocument.spreadsheetml.table+xml"/>
  <Override PartName="/xl/comments21.xml" ContentType="application/vnd.openxmlformats-officedocument.spreadsheetml.comments+xml"/>
  <Override PartName="/xl/charts/chart44.xml" ContentType="application/vnd.openxmlformats-officedocument.drawingml.chart+xml"/>
  <Override PartName="/xl/charts/chart4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4.xml" ContentType="application/vnd.openxmlformats-officedocument.drawing+xml"/>
  <Override PartName="/xl/tables/table22.xml" ContentType="application/vnd.openxmlformats-officedocument.spreadsheetml.table+xml"/>
  <Override PartName="/xl/comments22.xml" ContentType="application/vnd.openxmlformats-officedocument.spreadsheetml.comments+xml"/>
  <Override PartName="/xl/charts/chart46.xml" ContentType="application/vnd.openxmlformats-officedocument.drawingml.chart+xml"/>
  <Override PartName="/xl/charts/chart47.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5.xml" ContentType="application/vnd.openxmlformats-officedocument.drawing+xml"/>
  <Override PartName="/xl/tables/table23.xml" ContentType="application/vnd.openxmlformats-officedocument.spreadsheetml.table+xml"/>
  <Override PartName="/xl/comments23.xml" ContentType="application/vnd.openxmlformats-officedocument.spreadsheetml.comments+xml"/>
  <Override PartName="/xl/charts/chart48.xml" ContentType="application/vnd.openxmlformats-officedocument.drawingml.chart+xml"/>
  <Override PartName="/xl/charts/chart49.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6.xml" ContentType="application/vnd.openxmlformats-officedocument.drawing+xml"/>
  <Override PartName="/xl/tables/table24.xml" ContentType="application/vnd.openxmlformats-officedocument.spreadsheetml.table+xml"/>
  <Override PartName="/xl/comments24.xml" ContentType="application/vnd.openxmlformats-officedocument.spreadsheetml.comments+xml"/>
  <Override PartName="/xl/charts/chart50.xml" ContentType="application/vnd.openxmlformats-officedocument.drawingml.chart+xml"/>
  <Override PartName="/xl/charts/chart5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7.xml" ContentType="application/vnd.openxmlformats-officedocument.drawing+xml"/>
  <Override PartName="/xl/tables/table25.xml" ContentType="application/vnd.openxmlformats-officedocument.spreadsheetml.table+xml"/>
  <Override PartName="/xl/comments25.xml" ContentType="application/vnd.openxmlformats-officedocument.spreadsheetml.comments+xml"/>
  <Override PartName="/xl/charts/chart52.xml" ContentType="application/vnd.openxmlformats-officedocument.drawingml.chart+xml"/>
  <Override PartName="/xl/charts/chart53.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8.xml" ContentType="application/vnd.openxmlformats-officedocument.drawing+xml"/>
  <Override PartName="/xl/tables/table26.xml" ContentType="application/vnd.openxmlformats-officedocument.spreadsheetml.table+xml"/>
  <Override PartName="/xl/comments26.xml" ContentType="application/vnd.openxmlformats-officedocument.spreadsheetml.comments+xml"/>
  <Override PartName="/xl/charts/chart54.xml" ContentType="application/vnd.openxmlformats-officedocument.drawingml.chart+xml"/>
  <Override PartName="/xl/charts/chart55.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9.xml" ContentType="application/vnd.openxmlformats-officedocument.drawing+xml"/>
  <Override PartName="/xl/tables/table27.xml" ContentType="application/vnd.openxmlformats-officedocument.spreadsheetml.table+xml"/>
  <Override PartName="/xl/comments27.xml" ContentType="application/vnd.openxmlformats-officedocument.spreadsheetml.comments+xml"/>
  <Override PartName="/xl/charts/chart56.xml" ContentType="application/vnd.openxmlformats-officedocument.drawingml.chart+xml"/>
  <Override PartName="/xl/charts/chart57.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0.xml" ContentType="application/vnd.openxmlformats-officedocument.drawing+xml"/>
  <Override PartName="/xl/tables/table28.xml" ContentType="application/vnd.openxmlformats-officedocument.spreadsheetml.table+xml"/>
  <Override PartName="/xl/comments28.xml" ContentType="application/vnd.openxmlformats-officedocument.spreadsheetml.comments+xml"/>
  <Override PartName="/xl/charts/chart58.xml" ContentType="application/vnd.openxmlformats-officedocument.drawingml.chart+xml"/>
  <Override PartName="/xl/charts/chart59.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1.xml" ContentType="application/vnd.openxmlformats-officedocument.drawing+xml"/>
  <Override PartName="/xl/tables/table29.xml" ContentType="application/vnd.openxmlformats-officedocument.spreadsheetml.table+xml"/>
  <Override PartName="/xl/comments29.xml" ContentType="application/vnd.openxmlformats-officedocument.spreadsheetml.comments+xml"/>
  <Override PartName="/xl/charts/chart60.xml" ContentType="application/vnd.openxmlformats-officedocument.drawingml.chart+xml"/>
  <Override PartName="/xl/charts/chart61.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2.xml" ContentType="application/vnd.openxmlformats-officedocument.drawing+xml"/>
  <Override PartName="/xl/tables/table30.xml" ContentType="application/vnd.openxmlformats-officedocument.spreadsheetml.table+xml"/>
  <Override PartName="/xl/comments30.xml" ContentType="application/vnd.openxmlformats-officedocument.spreadsheetml.comments+xml"/>
  <Override PartName="/xl/charts/chart62.xml" ContentType="application/vnd.openxmlformats-officedocument.drawingml.chart+xml"/>
  <Override PartName="/xl/charts/chart63.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eceuropaeu-my.sharepoint.com/personal/isabelle_fiasse_ec_europa_eu/Documents/Accessibility/"/>
    </mc:Choice>
  </mc:AlternateContent>
  <xr:revisionPtr revIDLastSave="96" documentId="8_{BF46CB54-E5B7-4F87-A85B-8DB37887FD8E}" xr6:coauthVersionLast="47" xr6:coauthVersionMax="47" xr10:uidLastSave="{4BCAB8FB-54F6-45CC-830E-131DB1ED52A1}"/>
  <bookViews>
    <workbookView xWindow="28680" yWindow="-120" windowWidth="29040" windowHeight="15720" tabRatio="771" xr2:uid="{00000000-000D-0000-FFFF-FFFF00000000}"/>
  </bookViews>
  <sheets>
    <sheet name="Intro" sheetId="37" r:id="rId1"/>
    <sheet name="Cross country comparisons" sheetId="112" r:id="rId2"/>
    <sheet name="European Union" sheetId="50" r:id="rId3"/>
    <sheet name="Euro area" sheetId="83" r:id="rId4"/>
    <sheet name="Belgium" sheetId="84" r:id="rId5"/>
    <sheet name="Bulgaria" sheetId="85" r:id="rId6"/>
    <sheet name="Czechia" sheetId="86" r:id="rId7"/>
    <sheet name="Denmark" sheetId="87" r:id="rId8"/>
    <sheet name="Germany" sheetId="88" r:id="rId9"/>
    <sheet name="Estonia" sheetId="89" r:id="rId10"/>
    <sheet name="Ireland" sheetId="90" r:id="rId11"/>
    <sheet name="Greece" sheetId="91" r:id="rId12"/>
    <sheet name="Spain" sheetId="92" r:id="rId13"/>
    <sheet name="France" sheetId="93" r:id="rId14"/>
    <sheet name="Croatia" sheetId="94" r:id="rId15"/>
    <sheet name="Italy" sheetId="95" r:id="rId16"/>
    <sheet name="Cyprus" sheetId="96" r:id="rId17"/>
    <sheet name="Latvia" sheetId="97" r:id="rId18"/>
    <sheet name="Lithuania" sheetId="98" r:id="rId19"/>
    <sheet name="Luxembourg" sheetId="99" r:id="rId20"/>
    <sheet name="Hungary" sheetId="100" r:id="rId21"/>
    <sheet name="Malta" sheetId="101" r:id="rId22"/>
    <sheet name="Netherlands" sheetId="102" r:id="rId23"/>
    <sheet name="Austria" sheetId="103" r:id="rId24"/>
    <sheet name="Poland" sheetId="104" r:id="rId25"/>
    <sheet name="Portugal" sheetId="105" r:id="rId26"/>
    <sheet name="Romania" sheetId="106" r:id="rId27"/>
    <sheet name="Slovenia" sheetId="107" r:id="rId28"/>
    <sheet name="Slovakia" sheetId="108" r:id="rId29"/>
    <sheet name="Finland" sheetId="109" r:id="rId30"/>
    <sheet name="Sweden" sheetId="110" r:id="rId31"/>
    <sheet name="Norway" sheetId="111" r:id="rId32"/>
  </sheets>
  <definedNames>
    <definedName name="_xlnm._FilterDatabase" localSheetId="1" hidden="1">'Cross country comparisons'!$A$47:$E$74</definedName>
    <definedName name="data_a10_a">#REF!</definedName>
    <definedName name="data_a10_as">#REF!</definedName>
    <definedName name="data_a10_s">#REF!</definedName>
    <definedName name="data_a21_a">#REF!</definedName>
    <definedName name="data_a21_as">#REF!</definedName>
    <definedName name="data_a21_s">#REF!</definedName>
    <definedName name="data_tot_a">#REF!</definedName>
    <definedName name="data_tot_as">#REF!</definedName>
    <definedName name="data_tot_s">#REF!</definedName>
    <definedName name="Euro_area">Intro!$A$9</definedName>
    <definedName name="qali_a10_a">#REF!</definedName>
    <definedName name="qali_a10_as">#REF!</definedName>
    <definedName name="qali_a10_s">#REF!</definedName>
    <definedName name="qali_a21_a">#REF!</definedName>
    <definedName name="qali_a21_as">#REF!</definedName>
    <definedName name="qali_a21_s">#REF!</definedName>
    <definedName name="qali_tot_a">#REF!</definedName>
    <definedName name="qali_tot_as">#REF!</definedName>
    <definedName name="qali_tot_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111" l="1"/>
  <c r="L30" i="111" s="1"/>
  <c r="H30" i="111"/>
  <c r="G30" i="111"/>
  <c r="D30" i="111"/>
  <c r="K29" i="111"/>
  <c r="I30" i="111" s="1"/>
  <c r="E30" i="111" s="1"/>
  <c r="H29" i="111"/>
  <c r="G29" i="111"/>
  <c r="D29" i="111"/>
  <c r="K28" i="111"/>
  <c r="L28" i="111" s="1"/>
  <c r="H28" i="111"/>
  <c r="G28" i="111"/>
  <c r="D28" i="111"/>
  <c r="K27" i="111"/>
  <c r="H27" i="111"/>
  <c r="G27" i="111"/>
  <c r="D27" i="111"/>
  <c r="A27" i="111"/>
  <c r="A28" i="111" s="1"/>
  <c r="A29" i="111" s="1"/>
  <c r="A30" i="111" s="1"/>
  <c r="K26" i="111"/>
  <c r="L26" i="111" s="1"/>
  <c r="H26" i="111"/>
  <c r="G26" i="111"/>
  <c r="D26" i="111"/>
  <c r="K25" i="111"/>
  <c r="H25" i="111"/>
  <c r="G25" i="111"/>
  <c r="D25" i="111"/>
  <c r="L24" i="111"/>
  <c r="K24" i="111"/>
  <c r="H24" i="111"/>
  <c r="G24" i="111"/>
  <c r="D24" i="111"/>
  <c r="K23" i="111"/>
  <c r="L23" i="111" s="1"/>
  <c r="H23" i="111"/>
  <c r="G23" i="111"/>
  <c r="D23" i="111"/>
  <c r="K22" i="111"/>
  <c r="I22" i="111"/>
  <c r="E22" i="111" s="1"/>
  <c r="H22" i="111"/>
  <c r="G22" i="111"/>
  <c r="D22" i="111"/>
  <c r="K21" i="111"/>
  <c r="L21" i="111" s="1"/>
  <c r="H21" i="111"/>
  <c r="G21" i="111"/>
  <c r="D21" i="111"/>
  <c r="K20" i="111"/>
  <c r="H20" i="111"/>
  <c r="G20" i="111"/>
  <c r="D20" i="111"/>
  <c r="K19" i="111"/>
  <c r="I19" i="111" s="1"/>
  <c r="E19" i="111" s="1"/>
  <c r="H19" i="111"/>
  <c r="G19" i="111"/>
  <c r="D19" i="111"/>
  <c r="K18" i="111"/>
  <c r="L18" i="111" s="1"/>
  <c r="H18" i="111"/>
  <c r="G18" i="111"/>
  <c r="D18" i="111"/>
  <c r="K17" i="111"/>
  <c r="I17" i="111"/>
  <c r="H17" i="111"/>
  <c r="G17" i="111"/>
  <c r="E17" i="111"/>
  <c r="D17" i="111"/>
  <c r="K16" i="111"/>
  <c r="L16" i="111" s="1"/>
  <c r="H16" i="111"/>
  <c r="G16" i="111"/>
  <c r="D16" i="111"/>
  <c r="K15" i="111"/>
  <c r="L15" i="111" s="1"/>
  <c r="H15" i="111"/>
  <c r="G15" i="111"/>
  <c r="D15" i="111"/>
  <c r="K14" i="111"/>
  <c r="H14" i="111"/>
  <c r="G14" i="111"/>
  <c r="D14" i="111"/>
  <c r="K13" i="111"/>
  <c r="L13" i="111" s="1"/>
  <c r="J13" i="111" s="1"/>
  <c r="F13" i="111" s="1"/>
  <c r="I13" i="111"/>
  <c r="E13" i="111" s="1"/>
  <c r="C13" i="111" s="1"/>
  <c r="H13" i="111"/>
  <c r="G13" i="111"/>
  <c r="D13" i="111"/>
  <c r="K12" i="111"/>
  <c r="L12" i="111" s="1"/>
  <c r="H12" i="111"/>
  <c r="G12" i="111"/>
  <c r="D12" i="111"/>
  <c r="K11" i="111"/>
  <c r="H11" i="111"/>
  <c r="G11" i="111"/>
  <c r="D11" i="111"/>
  <c r="L10" i="111"/>
  <c r="J10" i="111" s="1"/>
  <c r="F10" i="111" s="1"/>
  <c r="K10" i="111"/>
  <c r="H10" i="111"/>
  <c r="G10" i="111"/>
  <c r="D10" i="111"/>
  <c r="K9" i="111"/>
  <c r="L9" i="111" s="1"/>
  <c r="K30" i="110"/>
  <c r="L30" i="110" s="1"/>
  <c r="H30" i="110"/>
  <c r="G30" i="110"/>
  <c r="D30" i="110"/>
  <c r="A30" i="110"/>
  <c r="K29" i="110"/>
  <c r="H29" i="110"/>
  <c r="G29" i="110"/>
  <c r="D29" i="110"/>
  <c r="A29" i="110"/>
  <c r="K28" i="110"/>
  <c r="H28" i="110"/>
  <c r="G28" i="110"/>
  <c r="D28" i="110"/>
  <c r="A28" i="110"/>
  <c r="K27" i="110"/>
  <c r="L27" i="110" s="1"/>
  <c r="I27" i="110"/>
  <c r="H27" i="110"/>
  <c r="G27" i="110"/>
  <c r="D27" i="110"/>
  <c r="A27" i="110"/>
  <c r="K26" i="110"/>
  <c r="H26" i="110"/>
  <c r="G26" i="110"/>
  <c r="D26" i="110"/>
  <c r="K25" i="110"/>
  <c r="L25" i="110" s="1"/>
  <c r="H25" i="110"/>
  <c r="G25" i="110"/>
  <c r="D25" i="110"/>
  <c r="L24" i="110"/>
  <c r="K24" i="110"/>
  <c r="I25" i="110" s="1"/>
  <c r="E25" i="110" s="1"/>
  <c r="H24" i="110"/>
  <c r="G24" i="110"/>
  <c r="D24" i="110"/>
  <c r="K23" i="110"/>
  <c r="H23" i="110"/>
  <c r="G23" i="110"/>
  <c r="D23" i="110"/>
  <c r="K22" i="110"/>
  <c r="L22" i="110" s="1"/>
  <c r="H22" i="110"/>
  <c r="G22" i="110"/>
  <c r="D22" i="110"/>
  <c r="K21" i="110"/>
  <c r="I21" i="110"/>
  <c r="E21" i="110" s="1"/>
  <c r="H21" i="110"/>
  <c r="G21" i="110"/>
  <c r="D21" i="110"/>
  <c r="K20" i="110"/>
  <c r="L20" i="110" s="1"/>
  <c r="H20" i="110"/>
  <c r="G20" i="110"/>
  <c r="D20" i="110"/>
  <c r="K19" i="110"/>
  <c r="H19" i="110"/>
  <c r="G19" i="110"/>
  <c r="D19" i="110"/>
  <c r="K18" i="110"/>
  <c r="L18" i="110" s="1"/>
  <c r="H18" i="110"/>
  <c r="G18" i="110"/>
  <c r="D18" i="110"/>
  <c r="K17" i="110"/>
  <c r="L17" i="110" s="1"/>
  <c r="I17" i="110"/>
  <c r="E17" i="110" s="1"/>
  <c r="H17" i="110"/>
  <c r="G17" i="110"/>
  <c r="D17" i="110"/>
  <c r="K16" i="110"/>
  <c r="L16" i="110" s="1"/>
  <c r="I16" i="110"/>
  <c r="H16" i="110"/>
  <c r="G16" i="110"/>
  <c r="E16" i="110"/>
  <c r="D16" i="110"/>
  <c r="K15" i="110"/>
  <c r="L15" i="110" s="1"/>
  <c r="H15" i="110"/>
  <c r="G15" i="110"/>
  <c r="D15" i="110"/>
  <c r="K14" i="110"/>
  <c r="H14" i="110"/>
  <c r="G14" i="110"/>
  <c r="D14" i="110"/>
  <c r="K13" i="110"/>
  <c r="L13" i="110" s="1"/>
  <c r="J13" i="110"/>
  <c r="F13" i="110" s="1"/>
  <c r="I13" i="110"/>
  <c r="E13" i="110" s="1"/>
  <c r="C13" i="110" s="1"/>
  <c r="H13" i="110"/>
  <c r="G13" i="110"/>
  <c r="D13" i="110"/>
  <c r="K12" i="110"/>
  <c r="L12" i="110" s="1"/>
  <c r="I12" i="110"/>
  <c r="E12" i="110" s="1"/>
  <c r="H12" i="110"/>
  <c r="G12" i="110"/>
  <c r="D12" i="110"/>
  <c r="K11" i="110"/>
  <c r="L11" i="110" s="1"/>
  <c r="J11" i="110" s="1"/>
  <c r="I11" i="110"/>
  <c r="H11" i="110"/>
  <c r="G11" i="110"/>
  <c r="E11" i="110"/>
  <c r="D11" i="110"/>
  <c r="L10" i="110"/>
  <c r="K10" i="110"/>
  <c r="H10" i="110"/>
  <c r="G10" i="110"/>
  <c r="D10" i="110"/>
  <c r="K9" i="110"/>
  <c r="I10" i="110" s="1"/>
  <c r="K30" i="109"/>
  <c r="L30" i="109" s="1"/>
  <c r="H30" i="109"/>
  <c r="G30" i="109"/>
  <c r="D30" i="109"/>
  <c r="K29" i="109"/>
  <c r="H29" i="109"/>
  <c r="G29" i="109"/>
  <c r="D29" i="109"/>
  <c r="A29" i="109"/>
  <c r="A30" i="109" s="1"/>
  <c r="K28" i="109"/>
  <c r="L28" i="109" s="1"/>
  <c r="J28" i="109" s="1"/>
  <c r="F28" i="109" s="1"/>
  <c r="I28" i="109"/>
  <c r="E28" i="109" s="1"/>
  <c r="H28" i="109"/>
  <c r="G28" i="109"/>
  <c r="D28" i="109"/>
  <c r="A28" i="109"/>
  <c r="K27" i="109"/>
  <c r="L27" i="109" s="1"/>
  <c r="J27" i="109"/>
  <c r="I27" i="109"/>
  <c r="H27" i="109"/>
  <c r="G27" i="109"/>
  <c r="D27" i="109"/>
  <c r="A27" i="109"/>
  <c r="K26" i="109"/>
  <c r="L26" i="109" s="1"/>
  <c r="I26" i="109"/>
  <c r="E26" i="109" s="1"/>
  <c r="H26" i="109"/>
  <c r="G26" i="109"/>
  <c r="D26" i="109"/>
  <c r="K25" i="109"/>
  <c r="L25" i="109" s="1"/>
  <c r="J25" i="109" s="1"/>
  <c r="F25" i="109" s="1"/>
  <c r="H25" i="109"/>
  <c r="G25" i="109"/>
  <c r="D25" i="109"/>
  <c r="L24" i="109"/>
  <c r="K24" i="109"/>
  <c r="H24" i="109"/>
  <c r="G24" i="109"/>
  <c r="D24" i="109"/>
  <c r="K23" i="109"/>
  <c r="I24" i="109" s="1"/>
  <c r="E24" i="109" s="1"/>
  <c r="I23" i="109"/>
  <c r="E23" i="109" s="1"/>
  <c r="H23" i="109"/>
  <c r="G23" i="109"/>
  <c r="D23" i="109"/>
  <c r="K22" i="109"/>
  <c r="L22" i="109" s="1"/>
  <c r="I22" i="109"/>
  <c r="H22" i="109"/>
  <c r="G22" i="109"/>
  <c r="D22" i="109"/>
  <c r="K21" i="109"/>
  <c r="L21" i="109" s="1"/>
  <c r="H21" i="109"/>
  <c r="G21" i="109"/>
  <c r="D21" i="109"/>
  <c r="K20" i="109"/>
  <c r="H20" i="109"/>
  <c r="G20" i="109"/>
  <c r="D20" i="109"/>
  <c r="K19" i="109"/>
  <c r="H19" i="109"/>
  <c r="G19" i="109"/>
  <c r="D19" i="109"/>
  <c r="K18" i="109"/>
  <c r="L18" i="109" s="1"/>
  <c r="H18" i="109"/>
  <c r="G18" i="109"/>
  <c r="D18" i="109"/>
  <c r="K17" i="109"/>
  <c r="H17" i="109"/>
  <c r="G17" i="109"/>
  <c r="D17" i="109"/>
  <c r="K16" i="109"/>
  <c r="L16" i="109" s="1"/>
  <c r="H16" i="109"/>
  <c r="G16" i="109"/>
  <c r="D16" i="109"/>
  <c r="K15" i="109"/>
  <c r="H15" i="109"/>
  <c r="G15" i="109"/>
  <c r="D15" i="109"/>
  <c r="K14" i="109"/>
  <c r="H14" i="109"/>
  <c r="G14" i="109"/>
  <c r="D14" i="109"/>
  <c r="K13" i="109"/>
  <c r="L13" i="109" s="1"/>
  <c r="H13" i="109"/>
  <c r="G13" i="109"/>
  <c r="D13" i="109"/>
  <c r="K12" i="109"/>
  <c r="I12" i="109"/>
  <c r="H12" i="109"/>
  <c r="G12" i="109"/>
  <c r="E12" i="109"/>
  <c r="D12" i="109"/>
  <c r="K11" i="109"/>
  <c r="L11" i="109" s="1"/>
  <c r="H11" i="109"/>
  <c r="G11" i="109"/>
  <c r="D11" i="109"/>
  <c r="K10" i="109"/>
  <c r="L10" i="109" s="1"/>
  <c r="H10" i="109"/>
  <c r="G10" i="109"/>
  <c r="D10" i="109"/>
  <c r="K9" i="109"/>
  <c r="I10" i="109" s="1"/>
  <c r="E10" i="109" s="1"/>
  <c r="K30" i="108"/>
  <c r="L30" i="108" s="1"/>
  <c r="H30" i="108"/>
  <c r="G30" i="108"/>
  <c r="D30" i="108"/>
  <c r="K29" i="108"/>
  <c r="H29" i="108"/>
  <c r="G29" i="108"/>
  <c r="D29" i="108"/>
  <c r="K28" i="108"/>
  <c r="L28" i="108" s="1"/>
  <c r="H28" i="108"/>
  <c r="G28" i="108"/>
  <c r="D28" i="108"/>
  <c r="A28" i="108"/>
  <c r="A29" i="108" s="1"/>
  <c r="A30" i="108" s="1"/>
  <c r="K27" i="108"/>
  <c r="H27" i="108"/>
  <c r="G27" i="108"/>
  <c r="D27" i="108"/>
  <c r="A27" i="108"/>
  <c r="K26" i="108"/>
  <c r="L26" i="108" s="1"/>
  <c r="H26" i="108"/>
  <c r="G26" i="108"/>
  <c r="D26" i="108"/>
  <c r="K25" i="108"/>
  <c r="L25" i="108" s="1"/>
  <c r="I25" i="108"/>
  <c r="H25" i="108"/>
  <c r="G25" i="108"/>
  <c r="D25" i="108"/>
  <c r="L24" i="108"/>
  <c r="K24" i="108"/>
  <c r="H24" i="108"/>
  <c r="G24" i="108"/>
  <c r="D24" i="108"/>
  <c r="K23" i="108"/>
  <c r="I24" i="108" s="1"/>
  <c r="E24" i="108" s="1"/>
  <c r="H23" i="108"/>
  <c r="G23" i="108"/>
  <c r="D23" i="108"/>
  <c r="K22" i="108"/>
  <c r="H22" i="108"/>
  <c r="G22" i="108"/>
  <c r="D22" i="108"/>
  <c r="K21" i="108"/>
  <c r="L21" i="108" s="1"/>
  <c r="H21" i="108"/>
  <c r="G21" i="108"/>
  <c r="D21" i="108"/>
  <c r="K20" i="108"/>
  <c r="L20" i="108" s="1"/>
  <c r="H20" i="108"/>
  <c r="G20" i="108"/>
  <c r="D20" i="108"/>
  <c r="K19" i="108"/>
  <c r="H19" i="108"/>
  <c r="G19" i="108"/>
  <c r="D19" i="108"/>
  <c r="K18" i="108"/>
  <c r="L18" i="108" s="1"/>
  <c r="J18" i="108" s="1"/>
  <c r="I18" i="108"/>
  <c r="E18" i="108" s="1"/>
  <c r="H18" i="108"/>
  <c r="G18" i="108"/>
  <c r="D18" i="108"/>
  <c r="K17" i="108"/>
  <c r="L17" i="108" s="1"/>
  <c r="H17" i="108"/>
  <c r="G17" i="108"/>
  <c r="D17" i="108"/>
  <c r="K16" i="108"/>
  <c r="L16" i="108" s="1"/>
  <c r="H16" i="108"/>
  <c r="G16" i="108"/>
  <c r="D16" i="108"/>
  <c r="K15" i="108"/>
  <c r="L15" i="108" s="1"/>
  <c r="H15" i="108"/>
  <c r="G15" i="108"/>
  <c r="D15" i="108"/>
  <c r="K14" i="108"/>
  <c r="H14" i="108"/>
  <c r="G14" i="108"/>
  <c r="D14" i="108"/>
  <c r="K13" i="108"/>
  <c r="L13" i="108" s="1"/>
  <c r="H13" i="108"/>
  <c r="G13" i="108"/>
  <c r="D13" i="108"/>
  <c r="K12" i="108"/>
  <c r="L12" i="108" s="1"/>
  <c r="J12" i="108" s="1"/>
  <c r="H12" i="108"/>
  <c r="G12" i="108"/>
  <c r="D12" i="108"/>
  <c r="K11" i="108"/>
  <c r="L11" i="108" s="1"/>
  <c r="H11" i="108"/>
  <c r="G11" i="108"/>
  <c r="D11" i="108"/>
  <c r="K10" i="108"/>
  <c r="L10" i="108" s="1"/>
  <c r="H10" i="108"/>
  <c r="G10" i="108"/>
  <c r="D10" i="108"/>
  <c r="K9" i="108"/>
  <c r="I10" i="108" s="1"/>
  <c r="K30" i="107"/>
  <c r="L30" i="107" s="1"/>
  <c r="H30" i="107"/>
  <c r="G30" i="107"/>
  <c r="D30" i="107"/>
  <c r="A30" i="107"/>
  <c r="K29" i="107"/>
  <c r="H29" i="107"/>
  <c r="G29" i="107"/>
  <c r="D29" i="107"/>
  <c r="A29" i="107"/>
  <c r="K28" i="107"/>
  <c r="H28" i="107"/>
  <c r="G28" i="107"/>
  <c r="D28" i="107"/>
  <c r="A28" i="107"/>
  <c r="K27" i="107"/>
  <c r="L27" i="107" s="1"/>
  <c r="H27" i="107"/>
  <c r="G27" i="107"/>
  <c r="D27" i="107"/>
  <c r="A27" i="107"/>
  <c r="K26" i="107"/>
  <c r="L26" i="107" s="1"/>
  <c r="H26" i="107"/>
  <c r="G26" i="107"/>
  <c r="D26" i="107"/>
  <c r="K25" i="107"/>
  <c r="H25" i="107"/>
  <c r="G25" i="107"/>
  <c r="D25" i="107"/>
  <c r="L24" i="107"/>
  <c r="K24" i="107"/>
  <c r="H24" i="107"/>
  <c r="G24" i="107"/>
  <c r="D24" i="107"/>
  <c r="K23" i="107"/>
  <c r="L23" i="107" s="1"/>
  <c r="J23" i="107" s="1"/>
  <c r="I23" i="107"/>
  <c r="E23" i="107" s="1"/>
  <c r="H23" i="107"/>
  <c r="G23" i="107"/>
  <c r="D23" i="107"/>
  <c r="K22" i="107"/>
  <c r="L22" i="107" s="1"/>
  <c r="H22" i="107"/>
  <c r="G22" i="107"/>
  <c r="D22" i="107"/>
  <c r="K21" i="107"/>
  <c r="L21" i="107" s="1"/>
  <c r="H21" i="107"/>
  <c r="G21" i="107"/>
  <c r="D21" i="107"/>
  <c r="L20" i="107"/>
  <c r="K20" i="107"/>
  <c r="H20" i="107"/>
  <c r="G20" i="107"/>
  <c r="D20" i="107"/>
  <c r="K19" i="107"/>
  <c r="H19" i="107"/>
  <c r="G19" i="107"/>
  <c r="D19" i="107"/>
  <c r="K18" i="107"/>
  <c r="L18" i="107" s="1"/>
  <c r="H18" i="107"/>
  <c r="G18" i="107"/>
  <c r="D18" i="107"/>
  <c r="K17" i="107"/>
  <c r="H17" i="107"/>
  <c r="G17" i="107"/>
  <c r="D17" i="107"/>
  <c r="K16" i="107"/>
  <c r="L16" i="107" s="1"/>
  <c r="J16" i="107" s="1"/>
  <c r="F16" i="107" s="1"/>
  <c r="H16" i="107"/>
  <c r="G16" i="107"/>
  <c r="D16" i="107"/>
  <c r="K15" i="107"/>
  <c r="L15" i="107" s="1"/>
  <c r="H15" i="107"/>
  <c r="G15" i="107"/>
  <c r="D15" i="107"/>
  <c r="K14" i="107"/>
  <c r="H14" i="107"/>
  <c r="G14" i="107"/>
  <c r="D14" i="107"/>
  <c r="K13" i="107"/>
  <c r="H13" i="107"/>
  <c r="G13" i="107"/>
  <c r="D13" i="107"/>
  <c r="K12" i="107"/>
  <c r="L12" i="107" s="1"/>
  <c r="I12" i="107"/>
  <c r="H12" i="107"/>
  <c r="G12" i="107"/>
  <c r="E12" i="107"/>
  <c r="D12" i="107"/>
  <c r="K11" i="107"/>
  <c r="L11" i="107" s="1"/>
  <c r="H11" i="107"/>
  <c r="G11" i="107"/>
  <c r="D11" i="107"/>
  <c r="L10" i="107"/>
  <c r="K10" i="107"/>
  <c r="H10" i="107"/>
  <c r="G10" i="107"/>
  <c r="D10" i="107"/>
  <c r="K9" i="107"/>
  <c r="L9" i="107" s="1"/>
  <c r="K30" i="106"/>
  <c r="L30" i="106" s="1"/>
  <c r="H30" i="106"/>
  <c r="G30" i="106"/>
  <c r="D30" i="106"/>
  <c r="A30" i="106"/>
  <c r="K29" i="106"/>
  <c r="I29" i="106" s="1"/>
  <c r="E29" i="106" s="1"/>
  <c r="H29" i="106"/>
  <c r="G29" i="106"/>
  <c r="D29" i="106"/>
  <c r="A29" i="106"/>
  <c r="K28" i="106"/>
  <c r="L28" i="106" s="1"/>
  <c r="J28" i="106" s="1"/>
  <c r="H28" i="106"/>
  <c r="G28" i="106"/>
  <c r="D28" i="106"/>
  <c r="A28" i="106"/>
  <c r="K27" i="106"/>
  <c r="L27" i="106" s="1"/>
  <c r="H27" i="106"/>
  <c r="G27" i="106"/>
  <c r="D27" i="106"/>
  <c r="A27" i="106"/>
  <c r="K26" i="106"/>
  <c r="H26" i="106"/>
  <c r="G26" i="106"/>
  <c r="D26" i="106"/>
  <c r="K25" i="106"/>
  <c r="H25" i="106"/>
  <c r="G25" i="106"/>
  <c r="D25" i="106"/>
  <c r="K24" i="106"/>
  <c r="H24" i="106"/>
  <c r="G24" i="106"/>
  <c r="D24" i="106"/>
  <c r="K23" i="106"/>
  <c r="H23" i="106"/>
  <c r="G23" i="106"/>
  <c r="D23" i="106"/>
  <c r="K22" i="106"/>
  <c r="L22" i="106" s="1"/>
  <c r="H22" i="106"/>
  <c r="G22" i="106"/>
  <c r="D22" i="106"/>
  <c r="K21" i="106"/>
  <c r="L21" i="106" s="1"/>
  <c r="J21" i="106" s="1"/>
  <c r="I21" i="106"/>
  <c r="H21" i="106"/>
  <c r="G21" i="106"/>
  <c r="E21" i="106"/>
  <c r="D21" i="106"/>
  <c r="L20" i="106"/>
  <c r="K20" i="106"/>
  <c r="H20" i="106"/>
  <c r="G20" i="106"/>
  <c r="D20" i="106"/>
  <c r="K19" i="106"/>
  <c r="H19" i="106"/>
  <c r="G19" i="106"/>
  <c r="D19" i="106"/>
  <c r="K18" i="106"/>
  <c r="L18" i="106" s="1"/>
  <c r="I18" i="106"/>
  <c r="H18" i="106"/>
  <c r="G18" i="106"/>
  <c r="D18" i="106"/>
  <c r="K17" i="106"/>
  <c r="L17" i="106" s="1"/>
  <c r="H17" i="106"/>
  <c r="G17" i="106"/>
  <c r="D17" i="106"/>
  <c r="K16" i="106"/>
  <c r="L16" i="106" s="1"/>
  <c r="H16" i="106"/>
  <c r="G16" i="106"/>
  <c r="D16" i="106"/>
  <c r="K15" i="106"/>
  <c r="H15" i="106"/>
  <c r="G15" i="106"/>
  <c r="D15" i="106"/>
  <c r="K14" i="106"/>
  <c r="H14" i="106"/>
  <c r="G14" i="106"/>
  <c r="D14" i="106"/>
  <c r="K13" i="106"/>
  <c r="L13" i="106" s="1"/>
  <c r="H13" i="106"/>
  <c r="G13" i="106"/>
  <c r="D13" i="106"/>
  <c r="K12" i="106"/>
  <c r="I12" i="106"/>
  <c r="E12" i="106" s="1"/>
  <c r="H12" i="106"/>
  <c r="G12" i="106"/>
  <c r="D12" i="106"/>
  <c r="K11" i="106"/>
  <c r="L11" i="106" s="1"/>
  <c r="H11" i="106"/>
  <c r="G11" i="106"/>
  <c r="D11" i="106"/>
  <c r="K10" i="106"/>
  <c r="I11" i="106" s="1"/>
  <c r="E11" i="106" s="1"/>
  <c r="H10" i="106"/>
  <c r="G10" i="106"/>
  <c r="D10" i="106"/>
  <c r="K9" i="106"/>
  <c r="L9" i="106" s="1"/>
  <c r="K30" i="105"/>
  <c r="L30" i="105" s="1"/>
  <c r="H30" i="105"/>
  <c r="G30" i="105"/>
  <c r="D30" i="105"/>
  <c r="A30" i="105"/>
  <c r="K29" i="105"/>
  <c r="H29" i="105"/>
  <c r="G29" i="105"/>
  <c r="D29" i="105"/>
  <c r="A29" i="105"/>
  <c r="K28" i="105"/>
  <c r="L28" i="105" s="1"/>
  <c r="J28" i="105" s="1"/>
  <c r="I28" i="105"/>
  <c r="H28" i="105"/>
  <c r="G28" i="105"/>
  <c r="D28" i="105"/>
  <c r="A28" i="105"/>
  <c r="K27" i="105"/>
  <c r="L27" i="105" s="1"/>
  <c r="H27" i="105"/>
  <c r="G27" i="105"/>
  <c r="D27" i="105"/>
  <c r="A27" i="105"/>
  <c r="K26" i="105"/>
  <c r="I26" i="105"/>
  <c r="H26" i="105"/>
  <c r="G26" i="105"/>
  <c r="E26" i="105"/>
  <c r="D26" i="105"/>
  <c r="K25" i="105"/>
  <c r="L25" i="105" s="1"/>
  <c r="H25" i="105"/>
  <c r="G25" i="105"/>
  <c r="D25" i="105"/>
  <c r="K24" i="105"/>
  <c r="L24" i="105" s="1"/>
  <c r="H24" i="105"/>
  <c r="G24" i="105"/>
  <c r="D24" i="105"/>
  <c r="K23" i="105"/>
  <c r="L23" i="105" s="1"/>
  <c r="J23" i="105" s="1"/>
  <c r="I23" i="105"/>
  <c r="E23" i="105" s="1"/>
  <c r="H23" i="105"/>
  <c r="G23" i="105"/>
  <c r="D23" i="105"/>
  <c r="K22" i="105"/>
  <c r="L22" i="105" s="1"/>
  <c r="H22" i="105"/>
  <c r="G22" i="105"/>
  <c r="D22" i="105"/>
  <c r="K21" i="105"/>
  <c r="I21" i="105"/>
  <c r="H21" i="105"/>
  <c r="G21" i="105"/>
  <c r="E21" i="105" s="1"/>
  <c r="D21" i="105"/>
  <c r="L20" i="105"/>
  <c r="K20" i="105"/>
  <c r="H20" i="105"/>
  <c r="G20" i="105"/>
  <c r="D20" i="105"/>
  <c r="K19" i="105"/>
  <c r="H19" i="105"/>
  <c r="G19" i="105"/>
  <c r="D19" i="105"/>
  <c r="K18" i="105"/>
  <c r="L18" i="105" s="1"/>
  <c r="H18" i="105"/>
  <c r="G18" i="105"/>
  <c r="D18" i="105"/>
  <c r="K17" i="105"/>
  <c r="H17" i="105"/>
  <c r="G17" i="105"/>
  <c r="D17" i="105"/>
  <c r="K16" i="105"/>
  <c r="H16" i="105"/>
  <c r="G16" i="105"/>
  <c r="D16" i="105"/>
  <c r="K15" i="105"/>
  <c r="L15" i="105" s="1"/>
  <c r="H15" i="105"/>
  <c r="G15" i="105"/>
  <c r="D15" i="105"/>
  <c r="K14" i="105"/>
  <c r="H14" i="105"/>
  <c r="G14" i="105"/>
  <c r="D14" i="105"/>
  <c r="K13" i="105"/>
  <c r="H13" i="105"/>
  <c r="G13" i="105"/>
  <c r="D13" i="105"/>
  <c r="K12" i="105"/>
  <c r="L12" i="105" s="1"/>
  <c r="J12" i="105" s="1"/>
  <c r="I12" i="105"/>
  <c r="H12" i="105"/>
  <c r="G12" i="105"/>
  <c r="D12" i="105"/>
  <c r="K11" i="105"/>
  <c r="L11" i="105" s="1"/>
  <c r="H11" i="105"/>
  <c r="G11" i="105"/>
  <c r="E11" i="105" s="1"/>
  <c r="D11" i="105"/>
  <c r="L10" i="105"/>
  <c r="K10" i="105"/>
  <c r="I11" i="105" s="1"/>
  <c r="H10" i="105"/>
  <c r="G10" i="105"/>
  <c r="D10" i="105"/>
  <c r="K9" i="105"/>
  <c r="L9" i="105" s="1"/>
  <c r="K30" i="104"/>
  <c r="L30" i="104" s="1"/>
  <c r="H30" i="104"/>
  <c r="G30" i="104"/>
  <c r="D30" i="104"/>
  <c r="A30" i="104"/>
  <c r="K29" i="104"/>
  <c r="H29" i="104"/>
  <c r="G29" i="104"/>
  <c r="D29" i="104"/>
  <c r="A29" i="104"/>
  <c r="K28" i="104"/>
  <c r="L28" i="104" s="1"/>
  <c r="J28" i="104" s="1"/>
  <c r="I28" i="104"/>
  <c r="H28" i="104"/>
  <c r="G28" i="104"/>
  <c r="D28" i="104"/>
  <c r="A28" i="104"/>
  <c r="K27" i="104"/>
  <c r="L27" i="104" s="1"/>
  <c r="H27" i="104"/>
  <c r="G27" i="104"/>
  <c r="D27" i="104"/>
  <c r="A27" i="104"/>
  <c r="K26" i="104"/>
  <c r="H26" i="104"/>
  <c r="G26" i="104"/>
  <c r="D26" i="104"/>
  <c r="K25" i="104"/>
  <c r="L25" i="104" s="1"/>
  <c r="H25" i="104"/>
  <c r="G25" i="104"/>
  <c r="D25" i="104"/>
  <c r="K24" i="104"/>
  <c r="I24" i="104" s="1"/>
  <c r="E24" i="104" s="1"/>
  <c r="H24" i="104"/>
  <c r="G24" i="104"/>
  <c r="D24" i="104"/>
  <c r="K23" i="104"/>
  <c r="L23" i="104" s="1"/>
  <c r="J23" i="104" s="1"/>
  <c r="H23" i="104"/>
  <c r="G23" i="104"/>
  <c r="D23" i="104"/>
  <c r="K22" i="104"/>
  <c r="L22" i="104" s="1"/>
  <c r="H22" i="104"/>
  <c r="G22" i="104"/>
  <c r="D22" i="104"/>
  <c r="K21" i="104"/>
  <c r="I21" i="104"/>
  <c r="E21" i="104" s="1"/>
  <c r="H21" i="104"/>
  <c r="G21" i="104"/>
  <c r="D21" i="104"/>
  <c r="L20" i="104"/>
  <c r="K20" i="104"/>
  <c r="H20" i="104"/>
  <c r="G20" i="104"/>
  <c r="D20" i="104"/>
  <c r="K19" i="104"/>
  <c r="H19" i="104"/>
  <c r="G19" i="104"/>
  <c r="D19" i="104"/>
  <c r="K18" i="104"/>
  <c r="L18" i="104" s="1"/>
  <c r="I18" i="104"/>
  <c r="E18" i="104" s="1"/>
  <c r="H18" i="104"/>
  <c r="G18" i="104"/>
  <c r="D18" i="104"/>
  <c r="K17" i="104"/>
  <c r="H17" i="104"/>
  <c r="G17" i="104"/>
  <c r="D17" i="104"/>
  <c r="K16" i="104"/>
  <c r="L16" i="104" s="1"/>
  <c r="H16" i="104"/>
  <c r="G16" i="104"/>
  <c r="D16" i="104"/>
  <c r="K15" i="104"/>
  <c r="H15" i="104"/>
  <c r="G15" i="104"/>
  <c r="D15" i="104"/>
  <c r="K14" i="104"/>
  <c r="H14" i="104"/>
  <c r="G14" i="104"/>
  <c r="D14" i="104"/>
  <c r="K13" i="104"/>
  <c r="L13" i="104" s="1"/>
  <c r="H13" i="104"/>
  <c r="G13" i="104"/>
  <c r="D13" i="104"/>
  <c r="K12" i="104"/>
  <c r="I12" i="104"/>
  <c r="E12" i="104" s="1"/>
  <c r="H12" i="104"/>
  <c r="G12" i="104"/>
  <c r="D12" i="104"/>
  <c r="K11" i="104"/>
  <c r="L11" i="104" s="1"/>
  <c r="H11" i="104"/>
  <c r="G11" i="104"/>
  <c r="D11" i="104"/>
  <c r="K10" i="104"/>
  <c r="H10" i="104"/>
  <c r="G10" i="104"/>
  <c r="D10" i="104"/>
  <c r="K9" i="104"/>
  <c r="L9" i="104" s="1"/>
  <c r="K30" i="103"/>
  <c r="L30" i="103" s="1"/>
  <c r="H30" i="103"/>
  <c r="G30" i="103"/>
  <c r="D30" i="103"/>
  <c r="A30" i="103"/>
  <c r="K29" i="103"/>
  <c r="H29" i="103"/>
  <c r="G29" i="103"/>
  <c r="D29" i="103"/>
  <c r="A29" i="103"/>
  <c r="K28" i="103"/>
  <c r="I28" i="103" s="1"/>
  <c r="H28" i="103"/>
  <c r="G28" i="103"/>
  <c r="D28" i="103"/>
  <c r="A28" i="103"/>
  <c r="K27" i="103"/>
  <c r="L27" i="103" s="1"/>
  <c r="H27" i="103"/>
  <c r="G27" i="103"/>
  <c r="D27" i="103"/>
  <c r="A27" i="103"/>
  <c r="K26" i="103"/>
  <c r="I26" i="103"/>
  <c r="H26" i="103"/>
  <c r="G26" i="103"/>
  <c r="E26" i="103" s="1"/>
  <c r="D26" i="103"/>
  <c r="L25" i="103"/>
  <c r="K25" i="103"/>
  <c r="H25" i="103"/>
  <c r="G25" i="103"/>
  <c r="D25" i="103"/>
  <c r="K24" i="103"/>
  <c r="L24" i="103" s="1"/>
  <c r="H24" i="103"/>
  <c r="G24" i="103"/>
  <c r="D24" i="103"/>
  <c r="K23" i="103"/>
  <c r="I24" i="103" s="1"/>
  <c r="E24" i="103" s="1"/>
  <c r="I23" i="103"/>
  <c r="E23" i="103" s="1"/>
  <c r="H23" i="103"/>
  <c r="G23" i="103"/>
  <c r="D23" i="103"/>
  <c r="K22" i="103"/>
  <c r="L22" i="103" s="1"/>
  <c r="H22" i="103"/>
  <c r="G22" i="103"/>
  <c r="D22" i="103"/>
  <c r="K21" i="103"/>
  <c r="I21" i="103" s="1"/>
  <c r="E21" i="103" s="1"/>
  <c r="H21" i="103"/>
  <c r="G21" i="103"/>
  <c r="D21" i="103"/>
  <c r="K20" i="103"/>
  <c r="L20" i="103" s="1"/>
  <c r="H20" i="103"/>
  <c r="G20" i="103"/>
  <c r="D20" i="103"/>
  <c r="K19" i="103"/>
  <c r="H19" i="103"/>
  <c r="G19" i="103"/>
  <c r="D19" i="103"/>
  <c r="K18" i="103"/>
  <c r="L18" i="103" s="1"/>
  <c r="H18" i="103"/>
  <c r="G18" i="103"/>
  <c r="D18" i="103"/>
  <c r="K17" i="103"/>
  <c r="I18" i="103" s="1"/>
  <c r="E18" i="103" s="1"/>
  <c r="H17" i="103"/>
  <c r="G17" i="103"/>
  <c r="D17" i="103"/>
  <c r="K16" i="103"/>
  <c r="L16" i="103" s="1"/>
  <c r="H16" i="103"/>
  <c r="G16" i="103"/>
  <c r="D16" i="103"/>
  <c r="K15" i="103"/>
  <c r="H15" i="103"/>
  <c r="G15" i="103"/>
  <c r="D15" i="103"/>
  <c r="K14" i="103"/>
  <c r="H14" i="103"/>
  <c r="G14" i="103"/>
  <c r="D14" i="103"/>
  <c r="K13" i="103"/>
  <c r="L13" i="103" s="1"/>
  <c r="H13" i="103"/>
  <c r="G13" i="103"/>
  <c r="D13" i="103"/>
  <c r="K12" i="103"/>
  <c r="I12" i="103" s="1"/>
  <c r="H12" i="103"/>
  <c r="G12" i="103"/>
  <c r="D12" i="103"/>
  <c r="L11" i="103"/>
  <c r="K11" i="103"/>
  <c r="H11" i="103"/>
  <c r="G11" i="103"/>
  <c r="D11" i="103"/>
  <c r="K10" i="103"/>
  <c r="H10" i="103"/>
  <c r="G10" i="103"/>
  <c r="D10" i="103"/>
  <c r="L9" i="103"/>
  <c r="K9" i="103"/>
  <c r="K30" i="102"/>
  <c r="L30" i="102" s="1"/>
  <c r="H30" i="102"/>
  <c r="G30" i="102"/>
  <c r="D30" i="102"/>
  <c r="A30" i="102"/>
  <c r="K29" i="102"/>
  <c r="H29" i="102"/>
  <c r="G29" i="102"/>
  <c r="D29" i="102"/>
  <c r="A29" i="102"/>
  <c r="K28" i="102"/>
  <c r="H28" i="102"/>
  <c r="G28" i="102"/>
  <c r="D28" i="102"/>
  <c r="A28" i="102"/>
  <c r="K27" i="102"/>
  <c r="L27" i="102" s="1"/>
  <c r="H27" i="102"/>
  <c r="G27" i="102"/>
  <c r="D27" i="102"/>
  <c r="A27" i="102"/>
  <c r="K26" i="102"/>
  <c r="L26" i="102" s="1"/>
  <c r="H26" i="102"/>
  <c r="G26" i="102"/>
  <c r="D26" i="102"/>
  <c r="K25" i="102"/>
  <c r="H25" i="102"/>
  <c r="G25" i="102"/>
  <c r="D25" i="102"/>
  <c r="K24" i="102"/>
  <c r="L24" i="102" s="1"/>
  <c r="H24" i="102"/>
  <c r="G24" i="102"/>
  <c r="D24" i="102"/>
  <c r="K23" i="102"/>
  <c r="L23" i="102" s="1"/>
  <c r="J23" i="102" s="1"/>
  <c r="I23" i="102"/>
  <c r="H23" i="102"/>
  <c r="G23" i="102"/>
  <c r="D23" i="102"/>
  <c r="K22" i="102"/>
  <c r="L22" i="102" s="1"/>
  <c r="H22" i="102"/>
  <c r="G22" i="102"/>
  <c r="D22" i="102"/>
  <c r="K21" i="102"/>
  <c r="L21" i="102" s="1"/>
  <c r="H21" i="102"/>
  <c r="G21" i="102"/>
  <c r="D21" i="102"/>
  <c r="K20" i="102"/>
  <c r="L20" i="102" s="1"/>
  <c r="H20" i="102"/>
  <c r="G20" i="102"/>
  <c r="D20" i="102"/>
  <c r="K19" i="102"/>
  <c r="H19" i="102"/>
  <c r="G19" i="102"/>
  <c r="D19" i="102"/>
  <c r="K18" i="102"/>
  <c r="L18" i="102" s="1"/>
  <c r="H18" i="102"/>
  <c r="G18" i="102"/>
  <c r="D18" i="102"/>
  <c r="K17" i="102"/>
  <c r="L17" i="102" s="1"/>
  <c r="H17" i="102"/>
  <c r="G17" i="102"/>
  <c r="D17" i="102"/>
  <c r="K16" i="102"/>
  <c r="L16" i="102" s="1"/>
  <c r="I16" i="102"/>
  <c r="E16" i="102" s="1"/>
  <c r="H16" i="102"/>
  <c r="G16" i="102"/>
  <c r="D16" i="102"/>
  <c r="K15" i="102"/>
  <c r="L15" i="102" s="1"/>
  <c r="H15" i="102"/>
  <c r="G15" i="102"/>
  <c r="D15" i="102"/>
  <c r="K14" i="102"/>
  <c r="H14" i="102"/>
  <c r="G14" i="102"/>
  <c r="D14" i="102"/>
  <c r="K13" i="102"/>
  <c r="L13" i="102" s="1"/>
  <c r="I13" i="102"/>
  <c r="H13" i="102"/>
  <c r="G13" i="102"/>
  <c r="D13" i="102"/>
  <c r="K12" i="102"/>
  <c r="L12" i="102" s="1"/>
  <c r="H12" i="102"/>
  <c r="G12" i="102"/>
  <c r="D12" i="102"/>
  <c r="K11" i="102"/>
  <c r="L11" i="102" s="1"/>
  <c r="H11" i="102"/>
  <c r="G11" i="102"/>
  <c r="D11" i="102"/>
  <c r="K10" i="102"/>
  <c r="I11" i="102" s="1"/>
  <c r="E11" i="102" s="1"/>
  <c r="H10" i="102"/>
  <c r="G10" i="102"/>
  <c r="D10" i="102"/>
  <c r="K9" i="102"/>
  <c r="L9" i="102" s="1"/>
  <c r="K30" i="101"/>
  <c r="L30" i="101" s="1"/>
  <c r="H30" i="101"/>
  <c r="G30" i="101"/>
  <c r="D30" i="101"/>
  <c r="A30" i="101"/>
  <c r="K29" i="101"/>
  <c r="H29" i="101"/>
  <c r="G29" i="101"/>
  <c r="D29" i="101"/>
  <c r="A29" i="101"/>
  <c r="K28" i="101"/>
  <c r="H28" i="101"/>
  <c r="G28" i="101"/>
  <c r="D28" i="101"/>
  <c r="A28" i="101"/>
  <c r="K27" i="101"/>
  <c r="L27" i="101" s="1"/>
  <c r="H27" i="101"/>
  <c r="G27" i="101"/>
  <c r="D27" i="101"/>
  <c r="A27" i="101"/>
  <c r="K26" i="101"/>
  <c r="I26" i="101"/>
  <c r="E26" i="101" s="1"/>
  <c r="H26" i="101"/>
  <c r="G26" i="101"/>
  <c r="D26" i="101"/>
  <c r="K25" i="101"/>
  <c r="L25" i="101" s="1"/>
  <c r="H25" i="101"/>
  <c r="G25" i="101"/>
  <c r="D25" i="101"/>
  <c r="L24" i="101"/>
  <c r="K24" i="101"/>
  <c r="H24" i="101"/>
  <c r="G24" i="101"/>
  <c r="D24" i="101"/>
  <c r="K23" i="101"/>
  <c r="I24" i="101" s="1"/>
  <c r="E24" i="101" s="1"/>
  <c r="I23" i="101"/>
  <c r="E23" i="101" s="1"/>
  <c r="H23" i="101"/>
  <c r="G23" i="101"/>
  <c r="D23" i="101"/>
  <c r="K22" i="101"/>
  <c r="L22" i="101" s="1"/>
  <c r="J22" i="101" s="1"/>
  <c r="I22" i="101"/>
  <c r="H22" i="101"/>
  <c r="G22" i="101"/>
  <c r="D22" i="101"/>
  <c r="L21" i="101"/>
  <c r="K21" i="101"/>
  <c r="I21" i="101" s="1"/>
  <c r="H21" i="101"/>
  <c r="G21" i="101"/>
  <c r="E21" i="101"/>
  <c r="D21" i="101"/>
  <c r="K20" i="101"/>
  <c r="L20" i="101" s="1"/>
  <c r="H20" i="101"/>
  <c r="G20" i="101"/>
  <c r="D20" i="101"/>
  <c r="K19" i="101"/>
  <c r="H19" i="101"/>
  <c r="G19" i="101"/>
  <c r="D19" i="101"/>
  <c r="K18" i="101"/>
  <c r="L18" i="101" s="1"/>
  <c r="H18" i="101"/>
  <c r="G18" i="101"/>
  <c r="D18" i="101"/>
  <c r="K17" i="101"/>
  <c r="H17" i="101"/>
  <c r="G17" i="101"/>
  <c r="D17" i="101"/>
  <c r="K16" i="101"/>
  <c r="H16" i="101"/>
  <c r="G16" i="101"/>
  <c r="D16" i="101"/>
  <c r="K15" i="101"/>
  <c r="L15" i="101" s="1"/>
  <c r="H15" i="101"/>
  <c r="G15" i="101"/>
  <c r="D15" i="101"/>
  <c r="K14" i="101"/>
  <c r="H14" i="101"/>
  <c r="G14" i="101"/>
  <c r="D14" i="101"/>
  <c r="L13" i="101"/>
  <c r="K13" i="101"/>
  <c r="H13" i="101"/>
  <c r="G13" i="101"/>
  <c r="D13" i="101"/>
  <c r="K12" i="101"/>
  <c r="L12" i="101" s="1"/>
  <c r="I12" i="101"/>
  <c r="H12" i="101"/>
  <c r="G12" i="101"/>
  <c r="D12" i="101"/>
  <c r="K11" i="101"/>
  <c r="L11" i="101" s="1"/>
  <c r="H11" i="101"/>
  <c r="G11" i="101"/>
  <c r="D11" i="101"/>
  <c r="K10" i="101"/>
  <c r="L10" i="101" s="1"/>
  <c r="H10" i="101"/>
  <c r="G10" i="101"/>
  <c r="D10" i="101"/>
  <c r="K9" i="101"/>
  <c r="I10" i="101" s="1"/>
  <c r="E10" i="101" s="1"/>
  <c r="K30" i="100"/>
  <c r="L30" i="100" s="1"/>
  <c r="H30" i="100"/>
  <c r="G30" i="100"/>
  <c r="D30" i="100"/>
  <c r="A30" i="100"/>
  <c r="K29" i="100"/>
  <c r="H29" i="100"/>
  <c r="G29" i="100"/>
  <c r="D29" i="100"/>
  <c r="A29" i="100"/>
  <c r="K28" i="100"/>
  <c r="L28" i="100" s="1"/>
  <c r="H28" i="100"/>
  <c r="G28" i="100"/>
  <c r="D28" i="100"/>
  <c r="A28" i="100"/>
  <c r="K27" i="100"/>
  <c r="H27" i="100"/>
  <c r="G27" i="100"/>
  <c r="D27" i="100"/>
  <c r="A27" i="100"/>
  <c r="K26" i="100"/>
  <c r="L26" i="100" s="1"/>
  <c r="H26" i="100"/>
  <c r="G26" i="100"/>
  <c r="D26" i="100"/>
  <c r="K25" i="100"/>
  <c r="L25" i="100" s="1"/>
  <c r="J25" i="100" s="1"/>
  <c r="I25" i="100"/>
  <c r="E25" i="100" s="1"/>
  <c r="H25" i="100"/>
  <c r="G25" i="100"/>
  <c r="D25" i="100"/>
  <c r="L24" i="100"/>
  <c r="K24" i="100"/>
  <c r="H24" i="100"/>
  <c r="G24" i="100"/>
  <c r="D24" i="100"/>
  <c r="K23" i="100"/>
  <c r="L23" i="100" s="1"/>
  <c r="H23" i="100"/>
  <c r="G23" i="100"/>
  <c r="D23" i="100"/>
  <c r="K22" i="100"/>
  <c r="H22" i="100"/>
  <c r="G22" i="100"/>
  <c r="D22" i="100"/>
  <c r="K21" i="100"/>
  <c r="L21" i="100" s="1"/>
  <c r="H21" i="100"/>
  <c r="G21" i="100"/>
  <c r="D21" i="100"/>
  <c r="L20" i="100"/>
  <c r="K20" i="100"/>
  <c r="H20" i="100"/>
  <c r="G20" i="100"/>
  <c r="D20" i="100"/>
  <c r="K19" i="100"/>
  <c r="I19" i="100" s="1"/>
  <c r="E19" i="100" s="1"/>
  <c r="H19" i="100"/>
  <c r="G19" i="100"/>
  <c r="D19" i="100"/>
  <c r="K18" i="100"/>
  <c r="L18" i="100" s="1"/>
  <c r="H18" i="100"/>
  <c r="G18" i="100"/>
  <c r="D18" i="100"/>
  <c r="K17" i="100"/>
  <c r="I17" i="100" s="1"/>
  <c r="E17" i="100" s="1"/>
  <c r="H17" i="100"/>
  <c r="G17" i="100"/>
  <c r="D17" i="100"/>
  <c r="K16" i="100"/>
  <c r="H16" i="100"/>
  <c r="G16" i="100"/>
  <c r="D16" i="100"/>
  <c r="K15" i="100"/>
  <c r="L15" i="100" s="1"/>
  <c r="H15" i="100"/>
  <c r="G15" i="100"/>
  <c r="D15" i="100"/>
  <c r="K14" i="100"/>
  <c r="I14" i="100" s="1"/>
  <c r="E14" i="100" s="1"/>
  <c r="H14" i="100"/>
  <c r="G14" i="100"/>
  <c r="D14" i="100"/>
  <c r="K13" i="100"/>
  <c r="H13" i="100"/>
  <c r="G13" i="100"/>
  <c r="D13" i="100"/>
  <c r="K12" i="100"/>
  <c r="L12" i="100" s="1"/>
  <c r="H12" i="100"/>
  <c r="G12" i="100"/>
  <c r="D12" i="100"/>
  <c r="K11" i="100"/>
  <c r="H11" i="100"/>
  <c r="G11" i="100"/>
  <c r="D11" i="100"/>
  <c r="K10" i="100"/>
  <c r="L10" i="100" s="1"/>
  <c r="H10" i="100"/>
  <c r="G10" i="100"/>
  <c r="D10" i="100"/>
  <c r="K9" i="100"/>
  <c r="L9" i="100" s="1"/>
  <c r="K30" i="99"/>
  <c r="L30" i="99" s="1"/>
  <c r="H30" i="99"/>
  <c r="G30" i="99"/>
  <c r="D30" i="99"/>
  <c r="A30" i="99"/>
  <c r="K29" i="99"/>
  <c r="L29" i="99" s="1"/>
  <c r="H29" i="99"/>
  <c r="G29" i="99"/>
  <c r="D29" i="99"/>
  <c r="A29" i="99"/>
  <c r="K28" i="99"/>
  <c r="L28" i="99" s="1"/>
  <c r="H28" i="99"/>
  <c r="G28" i="99"/>
  <c r="D28" i="99"/>
  <c r="A28" i="99"/>
  <c r="K27" i="99"/>
  <c r="I27" i="99"/>
  <c r="H27" i="99"/>
  <c r="G27" i="99"/>
  <c r="D27" i="99"/>
  <c r="A27" i="99"/>
  <c r="K26" i="99"/>
  <c r="L26" i="99" s="1"/>
  <c r="H26" i="99"/>
  <c r="G26" i="99"/>
  <c r="D26" i="99"/>
  <c r="K25" i="99"/>
  <c r="I25" i="99"/>
  <c r="H25" i="99"/>
  <c r="G25" i="99"/>
  <c r="E25" i="99"/>
  <c r="D25" i="99"/>
  <c r="L24" i="99"/>
  <c r="K24" i="99"/>
  <c r="H24" i="99"/>
  <c r="G24" i="99"/>
  <c r="D24" i="99"/>
  <c r="K23" i="99"/>
  <c r="L23" i="99" s="1"/>
  <c r="H23" i="99"/>
  <c r="G23" i="99"/>
  <c r="D23" i="99"/>
  <c r="K22" i="99"/>
  <c r="I22" i="99"/>
  <c r="H22" i="99"/>
  <c r="G22" i="99"/>
  <c r="D22" i="99"/>
  <c r="K21" i="99"/>
  <c r="L21" i="99" s="1"/>
  <c r="H21" i="99"/>
  <c r="G21" i="99"/>
  <c r="D21" i="99"/>
  <c r="K20" i="99"/>
  <c r="L20" i="99" s="1"/>
  <c r="H20" i="99"/>
  <c r="G20" i="99"/>
  <c r="D20" i="99"/>
  <c r="K19" i="99"/>
  <c r="I20" i="99" s="1"/>
  <c r="E20" i="99" s="1"/>
  <c r="H19" i="99"/>
  <c r="G19" i="99"/>
  <c r="D19" i="99"/>
  <c r="K18" i="99"/>
  <c r="L18" i="99" s="1"/>
  <c r="H18" i="99"/>
  <c r="G18" i="99"/>
  <c r="D18" i="99"/>
  <c r="K17" i="99"/>
  <c r="L17" i="99" s="1"/>
  <c r="H17" i="99"/>
  <c r="G17" i="99"/>
  <c r="D17" i="99"/>
  <c r="K16" i="99"/>
  <c r="H16" i="99"/>
  <c r="G16" i="99"/>
  <c r="D16" i="99"/>
  <c r="K15" i="99"/>
  <c r="H15" i="99"/>
  <c r="G15" i="99"/>
  <c r="D15" i="99"/>
  <c r="K14" i="99"/>
  <c r="H14" i="99"/>
  <c r="G14" i="99"/>
  <c r="D14" i="99"/>
  <c r="K13" i="99"/>
  <c r="L13" i="99" s="1"/>
  <c r="H13" i="99"/>
  <c r="G13" i="99"/>
  <c r="D13" i="99"/>
  <c r="K12" i="99"/>
  <c r="I12" i="99"/>
  <c r="E12" i="99" s="1"/>
  <c r="H12" i="99"/>
  <c r="G12" i="99"/>
  <c r="D12" i="99"/>
  <c r="K11" i="99"/>
  <c r="L11" i="99" s="1"/>
  <c r="I11" i="99"/>
  <c r="H11" i="99"/>
  <c r="G11" i="99"/>
  <c r="E11" i="99"/>
  <c r="D11" i="99"/>
  <c r="K10" i="99"/>
  <c r="L10" i="99" s="1"/>
  <c r="H10" i="99"/>
  <c r="G10" i="99"/>
  <c r="D10" i="99"/>
  <c r="K9" i="99"/>
  <c r="I10" i="99" s="1"/>
  <c r="K30" i="98"/>
  <c r="L30" i="98" s="1"/>
  <c r="H30" i="98"/>
  <c r="G30" i="98"/>
  <c r="D30" i="98"/>
  <c r="A30" i="98"/>
  <c r="K29" i="98"/>
  <c r="H29" i="98"/>
  <c r="G29" i="98"/>
  <c r="D29" i="98"/>
  <c r="A29" i="98"/>
  <c r="K28" i="98"/>
  <c r="L28" i="98" s="1"/>
  <c r="J28" i="98" s="1"/>
  <c r="I28" i="98"/>
  <c r="E28" i="98" s="1"/>
  <c r="H28" i="98"/>
  <c r="G28" i="98"/>
  <c r="D28" i="98"/>
  <c r="A28" i="98"/>
  <c r="K27" i="98"/>
  <c r="L27" i="98" s="1"/>
  <c r="I27" i="98"/>
  <c r="H27" i="98"/>
  <c r="G27" i="98"/>
  <c r="D27" i="98"/>
  <c r="A27" i="98"/>
  <c r="K26" i="98"/>
  <c r="L26" i="98" s="1"/>
  <c r="H26" i="98"/>
  <c r="G26" i="98"/>
  <c r="D26" i="98"/>
  <c r="K25" i="98"/>
  <c r="L25" i="98" s="1"/>
  <c r="H25" i="98"/>
  <c r="G25" i="98"/>
  <c r="D25" i="98"/>
  <c r="L24" i="98"/>
  <c r="K24" i="98"/>
  <c r="H24" i="98"/>
  <c r="G24" i="98"/>
  <c r="D24" i="98"/>
  <c r="K23" i="98"/>
  <c r="I24" i="98" s="1"/>
  <c r="E24" i="98" s="1"/>
  <c r="I23" i="98"/>
  <c r="E23" i="98" s="1"/>
  <c r="H23" i="98"/>
  <c r="G23" i="98"/>
  <c r="D23" i="98"/>
  <c r="K22" i="98"/>
  <c r="L22" i="98" s="1"/>
  <c r="I22" i="98"/>
  <c r="H22" i="98"/>
  <c r="G22" i="98"/>
  <c r="D22" i="98"/>
  <c r="K21" i="98"/>
  <c r="L21" i="98" s="1"/>
  <c r="H21" i="98"/>
  <c r="G21" i="98"/>
  <c r="D21" i="98"/>
  <c r="K20" i="98"/>
  <c r="L20" i="98" s="1"/>
  <c r="H20" i="98"/>
  <c r="G20" i="98"/>
  <c r="D20" i="98"/>
  <c r="K19" i="98"/>
  <c r="H19" i="98"/>
  <c r="G19" i="98"/>
  <c r="D19" i="98"/>
  <c r="K18" i="98"/>
  <c r="L18" i="98" s="1"/>
  <c r="H18" i="98"/>
  <c r="G18" i="98"/>
  <c r="D18" i="98"/>
  <c r="K17" i="98"/>
  <c r="L17" i="98" s="1"/>
  <c r="J17" i="98" s="1"/>
  <c r="I17" i="98"/>
  <c r="E17" i="98" s="1"/>
  <c r="H17" i="98"/>
  <c r="G17" i="98"/>
  <c r="D17" i="98"/>
  <c r="K16" i="98"/>
  <c r="L16" i="98" s="1"/>
  <c r="H16" i="98"/>
  <c r="G16" i="98"/>
  <c r="D16" i="98"/>
  <c r="K15" i="98"/>
  <c r="H15" i="98"/>
  <c r="G15" i="98"/>
  <c r="D15" i="98"/>
  <c r="K14" i="98"/>
  <c r="I14" i="98" s="1"/>
  <c r="E14" i="98" s="1"/>
  <c r="H14" i="98"/>
  <c r="G14" i="98"/>
  <c r="D14" i="98"/>
  <c r="K13" i="98"/>
  <c r="L13" i="98" s="1"/>
  <c r="H13" i="98"/>
  <c r="G13" i="98"/>
  <c r="D13" i="98"/>
  <c r="K12" i="98"/>
  <c r="I12" i="98"/>
  <c r="E12" i="98" s="1"/>
  <c r="H12" i="98"/>
  <c r="G12" i="98"/>
  <c r="D12" i="98"/>
  <c r="K11" i="98"/>
  <c r="H11" i="98"/>
  <c r="G11" i="98"/>
  <c r="D11" i="98"/>
  <c r="L10" i="98"/>
  <c r="K10" i="98"/>
  <c r="H10" i="98"/>
  <c r="G10" i="98"/>
  <c r="D10" i="98"/>
  <c r="K9" i="98"/>
  <c r="I10" i="98" s="1"/>
  <c r="E10" i="98" s="1"/>
  <c r="K30" i="97"/>
  <c r="L30" i="97" s="1"/>
  <c r="H30" i="97"/>
  <c r="G30" i="97"/>
  <c r="D30" i="97"/>
  <c r="K29" i="97"/>
  <c r="H29" i="97"/>
  <c r="G29" i="97"/>
  <c r="D29" i="97"/>
  <c r="A29" i="97"/>
  <c r="A30" i="97" s="1"/>
  <c r="K28" i="97"/>
  <c r="L28" i="97" s="1"/>
  <c r="I28" i="97"/>
  <c r="H28" i="97"/>
  <c r="G28" i="97"/>
  <c r="D28" i="97"/>
  <c r="A28" i="97"/>
  <c r="K27" i="97"/>
  <c r="H27" i="97"/>
  <c r="G27" i="97"/>
  <c r="D27" i="97"/>
  <c r="A27" i="97"/>
  <c r="K26" i="97"/>
  <c r="L26" i="97" s="1"/>
  <c r="I26" i="97"/>
  <c r="E26" i="97" s="1"/>
  <c r="H26" i="97"/>
  <c r="G26" i="97"/>
  <c r="D26" i="97"/>
  <c r="K25" i="97"/>
  <c r="H25" i="97"/>
  <c r="G25" i="97"/>
  <c r="D25" i="97"/>
  <c r="L24" i="97"/>
  <c r="K24" i="97"/>
  <c r="H24" i="97"/>
  <c r="G24" i="97"/>
  <c r="D24" i="97"/>
  <c r="K23" i="97"/>
  <c r="H23" i="97"/>
  <c r="G23" i="97"/>
  <c r="D23" i="97"/>
  <c r="K22" i="97"/>
  <c r="H22" i="97"/>
  <c r="G22" i="97"/>
  <c r="D22" i="97"/>
  <c r="K21" i="97"/>
  <c r="L21" i="97" s="1"/>
  <c r="H21" i="97"/>
  <c r="G21" i="97"/>
  <c r="D21" i="97"/>
  <c r="K20" i="97"/>
  <c r="H20" i="97"/>
  <c r="G20" i="97"/>
  <c r="D20" i="97"/>
  <c r="K19" i="97"/>
  <c r="H19" i="97"/>
  <c r="G19" i="97"/>
  <c r="D19" i="97"/>
  <c r="K18" i="97"/>
  <c r="L18" i="97" s="1"/>
  <c r="H18" i="97"/>
  <c r="G18" i="97"/>
  <c r="D18" i="97"/>
  <c r="K17" i="97"/>
  <c r="I17" i="97"/>
  <c r="E17" i="97" s="1"/>
  <c r="H17" i="97"/>
  <c r="G17" i="97"/>
  <c r="D17" i="97"/>
  <c r="K16" i="97"/>
  <c r="L16" i="97" s="1"/>
  <c r="H16" i="97"/>
  <c r="G16" i="97"/>
  <c r="D16" i="97"/>
  <c r="K15" i="97"/>
  <c r="H15" i="97"/>
  <c r="G15" i="97"/>
  <c r="D15" i="97"/>
  <c r="K14" i="97"/>
  <c r="H14" i="97"/>
  <c r="G14" i="97"/>
  <c r="D14" i="97"/>
  <c r="K13" i="97"/>
  <c r="L13" i="97" s="1"/>
  <c r="H13" i="97"/>
  <c r="G13" i="97"/>
  <c r="D13" i="97"/>
  <c r="K12" i="97"/>
  <c r="I12" i="97"/>
  <c r="H12" i="97"/>
  <c r="G12" i="97"/>
  <c r="E12" i="97"/>
  <c r="D12" i="97"/>
  <c r="K11" i="97"/>
  <c r="L11" i="97" s="1"/>
  <c r="H11" i="97"/>
  <c r="G11" i="97"/>
  <c r="D11" i="97"/>
  <c r="L10" i="97"/>
  <c r="K10" i="97"/>
  <c r="H10" i="97"/>
  <c r="G10" i="97"/>
  <c r="D10" i="97"/>
  <c r="K9" i="97"/>
  <c r="I10" i="97" s="1"/>
  <c r="E10" i="97" s="1"/>
  <c r="K30" i="96"/>
  <c r="L30" i="96" s="1"/>
  <c r="H30" i="96"/>
  <c r="G30" i="96"/>
  <c r="D30" i="96"/>
  <c r="A30" i="96"/>
  <c r="K29" i="96"/>
  <c r="H29" i="96"/>
  <c r="G29" i="96"/>
  <c r="D29" i="96"/>
  <c r="A29" i="96"/>
  <c r="K28" i="96"/>
  <c r="L28" i="96" s="1"/>
  <c r="J28" i="96" s="1"/>
  <c r="I28" i="96"/>
  <c r="H28" i="96"/>
  <c r="G28" i="96"/>
  <c r="D28" i="96"/>
  <c r="A28" i="96"/>
  <c r="K27" i="96"/>
  <c r="L27" i="96" s="1"/>
  <c r="H27" i="96"/>
  <c r="G27" i="96"/>
  <c r="D27" i="96"/>
  <c r="A27" i="96"/>
  <c r="K26" i="96"/>
  <c r="H26" i="96"/>
  <c r="G26" i="96"/>
  <c r="D26" i="96"/>
  <c r="K25" i="96"/>
  <c r="H25" i="96"/>
  <c r="G25" i="96"/>
  <c r="D25" i="96"/>
  <c r="K24" i="96"/>
  <c r="L24" i="96" s="1"/>
  <c r="H24" i="96"/>
  <c r="G24" i="96"/>
  <c r="D24" i="96"/>
  <c r="K23" i="96"/>
  <c r="H23" i="96"/>
  <c r="G23" i="96"/>
  <c r="D23" i="96"/>
  <c r="K22" i="96"/>
  <c r="L22" i="96" s="1"/>
  <c r="H22" i="96"/>
  <c r="G22" i="96"/>
  <c r="D22" i="96"/>
  <c r="K21" i="96"/>
  <c r="L21" i="96" s="1"/>
  <c r="H21" i="96"/>
  <c r="G21" i="96"/>
  <c r="D21" i="96"/>
  <c r="K20" i="96"/>
  <c r="H20" i="96"/>
  <c r="G20" i="96"/>
  <c r="D20" i="96"/>
  <c r="K19" i="96"/>
  <c r="H19" i="96"/>
  <c r="G19" i="96"/>
  <c r="D19" i="96"/>
  <c r="K18" i="96"/>
  <c r="L18" i="96" s="1"/>
  <c r="H18" i="96"/>
  <c r="G18" i="96"/>
  <c r="D18" i="96"/>
  <c r="K17" i="96"/>
  <c r="I17" i="96"/>
  <c r="E17" i="96" s="1"/>
  <c r="H17" i="96"/>
  <c r="G17" i="96"/>
  <c r="D17" i="96"/>
  <c r="K16" i="96"/>
  <c r="L16" i="96" s="1"/>
  <c r="I16" i="96"/>
  <c r="E16" i="96" s="1"/>
  <c r="H16" i="96"/>
  <c r="G16" i="96"/>
  <c r="D16" i="96"/>
  <c r="K15" i="96"/>
  <c r="L15" i="96" s="1"/>
  <c r="H15" i="96"/>
  <c r="G15" i="96"/>
  <c r="D15" i="96"/>
  <c r="K14" i="96"/>
  <c r="I14" i="96" s="1"/>
  <c r="E14" i="96" s="1"/>
  <c r="H14" i="96"/>
  <c r="G14" i="96"/>
  <c r="D14" i="96"/>
  <c r="K13" i="96"/>
  <c r="L13" i="96" s="1"/>
  <c r="H13" i="96"/>
  <c r="G13" i="96"/>
  <c r="D13" i="96"/>
  <c r="K12" i="96"/>
  <c r="L12" i="96" s="1"/>
  <c r="J12" i="96" s="1"/>
  <c r="I12" i="96"/>
  <c r="H12" i="96"/>
  <c r="G12" i="96"/>
  <c r="E12" i="96"/>
  <c r="D12" i="96"/>
  <c r="K11" i="96"/>
  <c r="L11" i="96" s="1"/>
  <c r="H11" i="96"/>
  <c r="G11" i="96"/>
  <c r="D11" i="96"/>
  <c r="L10" i="96"/>
  <c r="K10" i="96"/>
  <c r="H10" i="96"/>
  <c r="G10" i="96"/>
  <c r="D10" i="96"/>
  <c r="K9" i="96"/>
  <c r="I10" i="96" s="1"/>
  <c r="E10" i="96" s="1"/>
  <c r="K30" i="95"/>
  <c r="L30" i="95" s="1"/>
  <c r="H30" i="95"/>
  <c r="G30" i="95"/>
  <c r="D30" i="95"/>
  <c r="K29" i="95"/>
  <c r="H29" i="95"/>
  <c r="G29" i="95"/>
  <c r="D29" i="95"/>
  <c r="A29" i="95"/>
  <c r="A30" i="95" s="1"/>
  <c r="L28" i="95"/>
  <c r="J28" i="95" s="1"/>
  <c r="K28" i="95"/>
  <c r="I28" i="95"/>
  <c r="H28" i="95"/>
  <c r="G28" i="95"/>
  <c r="D28" i="95"/>
  <c r="A28" i="95"/>
  <c r="K27" i="95"/>
  <c r="L27" i="95" s="1"/>
  <c r="J27" i="95" s="1"/>
  <c r="H27" i="95"/>
  <c r="G27" i="95"/>
  <c r="D27" i="95"/>
  <c r="A27" i="95"/>
  <c r="K26" i="95"/>
  <c r="L26" i="95" s="1"/>
  <c r="H26" i="95"/>
  <c r="G26" i="95"/>
  <c r="D26" i="95"/>
  <c r="K25" i="95"/>
  <c r="H25" i="95"/>
  <c r="G25" i="95"/>
  <c r="D25" i="95"/>
  <c r="K24" i="95"/>
  <c r="L24" i="95" s="1"/>
  <c r="H24" i="95"/>
  <c r="G24" i="95"/>
  <c r="D24" i="95"/>
  <c r="K23" i="95"/>
  <c r="I23" i="95" s="1"/>
  <c r="E23" i="95" s="1"/>
  <c r="H23" i="95"/>
  <c r="G23" i="95"/>
  <c r="D23" i="95"/>
  <c r="K22" i="95"/>
  <c r="L22" i="95" s="1"/>
  <c r="H22" i="95"/>
  <c r="G22" i="95"/>
  <c r="D22" i="95"/>
  <c r="K21" i="95"/>
  <c r="L21" i="95" s="1"/>
  <c r="J21" i="95" s="1"/>
  <c r="I21" i="95"/>
  <c r="H21" i="95"/>
  <c r="G21" i="95"/>
  <c r="D21" i="95"/>
  <c r="K20" i="95"/>
  <c r="L20" i="95" s="1"/>
  <c r="H20" i="95"/>
  <c r="G20" i="95"/>
  <c r="D20" i="95"/>
  <c r="K19" i="95"/>
  <c r="H19" i="95"/>
  <c r="G19" i="95"/>
  <c r="D19" i="95"/>
  <c r="K18" i="95"/>
  <c r="L18" i="95" s="1"/>
  <c r="J18" i="95" s="1"/>
  <c r="F18" i="95" s="1"/>
  <c r="I18" i="95"/>
  <c r="E18" i="95" s="1"/>
  <c r="H18" i="95"/>
  <c r="G18" i="95"/>
  <c r="D18" i="95"/>
  <c r="K17" i="95"/>
  <c r="L17" i="95" s="1"/>
  <c r="H17" i="95"/>
  <c r="G17" i="95"/>
  <c r="D17" i="95"/>
  <c r="K16" i="95"/>
  <c r="H16" i="95"/>
  <c r="G16" i="95"/>
  <c r="D16" i="95"/>
  <c r="K15" i="95"/>
  <c r="L15" i="95" s="1"/>
  <c r="H15" i="95"/>
  <c r="G15" i="95"/>
  <c r="D15" i="95"/>
  <c r="K14" i="95"/>
  <c r="H14" i="95"/>
  <c r="G14" i="95"/>
  <c r="D14" i="95"/>
  <c r="K13" i="95"/>
  <c r="L13" i="95" s="1"/>
  <c r="H13" i="95"/>
  <c r="G13" i="95"/>
  <c r="D13" i="95"/>
  <c r="K12" i="95"/>
  <c r="L12" i="95" s="1"/>
  <c r="J12" i="95" s="1"/>
  <c r="F12" i="95" s="1"/>
  <c r="I12" i="95"/>
  <c r="E12" i="95" s="1"/>
  <c r="H12" i="95"/>
  <c r="G12" i="95"/>
  <c r="D12" i="95"/>
  <c r="K11" i="95"/>
  <c r="L11" i="95" s="1"/>
  <c r="H11" i="95"/>
  <c r="G11" i="95"/>
  <c r="D11" i="95"/>
  <c r="K10" i="95"/>
  <c r="L10" i="95" s="1"/>
  <c r="H10" i="95"/>
  <c r="G10" i="95"/>
  <c r="D10" i="95"/>
  <c r="K9" i="95"/>
  <c r="K30" i="94"/>
  <c r="L30" i="94" s="1"/>
  <c r="H30" i="94"/>
  <c r="G30" i="94"/>
  <c r="D30" i="94"/>
  <c r="K29" i="94"/>
  <c r="H29" i="94"/>
  <c r="G29" i="94"/>
  <c r="D29" i="94"/>
  <c r="A29" i="94"/>
  <c r="A30" i="94" s="1"/>
  <c r="K28" i="94"/>
  <c r="L28" i="94" s="1"/>
  <c r="J28" i="94" s="1"/>
  <c r="F28" i="94" s="1"/>
  <c r="I28" i="94"/>
  <c r="E28" i="94" s="1"/>
  <c r="H28" i="94"/>
  <c r="G28" i="94"/>
  <c r="D28" i="94"/>
  <c r="A28" i="94"/>
  <c r="K27" i="94"/>
  <c r="L27" i="94" s="1"/>
  <c r="H27" i="94"/>
  <c r="G27" i="94"/>
  <c r="D27" i="94"/>
  <c r="A27" i="94"/>
  <c r="K26" i="94"/>
  <c r="I26" i="94"/>
  <c r="E26" i="94" s="1"/>
  <c r="H26" i="94"/>
  <c r="G26" i="94"/>
  <c r="D26" i="94"/>
  <c r="K25" i="94"/>
  <c r="L25" i="94" s="1"/>
  <c r="H25" i="94"/>
  <c r="G25" i="94"/>
  <c r="D25" i="94"/>
  <c r="K24" i="94"/>
  <c r="H24" i="94"/>
  <c r="G24" i="94"/>
  <c r="D24" i="94"/>
  <c r="K23" i="94"/>
  <c r="H23" i="94"/>
  <c r="G23" i="94"/>
  <c r="D23" i="94"/>
  <c r="K22" i="94"/>
  <c r="L22" i="94" s="1"/>
  <c r="H22" i="94"/>
  <c r="G22" i="94"/>
  <c r="D22" i="94"/>
  <c r="K21" i="94"/>
  <c r="L21" i="94" s="1"/>
  <c r="J21" i="94" s="1"/>
  <c r="I21" i="94"/>
  <c r="H21" i="94"/>
  <c r="G21" i="94"/>
  <c r="F21" i="94"/>
  <c r="D21" i="94"/>
  <c r="K20" i="94"/>
  <c r="L20" i="94" s="1"/>
  <c r="H20" i="94"/>
  <c r="G20" i="94"/>
  <c r="D20" i="94"/>
  <c r="K19" i="94"/>
  <c r="H19" i="94"/>
  <c r="G19" i="94"/>
  <c r="D19" i="94"/>
  <c r="K18" i="94"/>
  <c r="L18" i="94" s="1"/>
  <c r="J18" i="94" s="1"/>
  <c r="I18" i="94"/>
  <c r="E18" i="94" s="1"/>
  <c r="H18" i="94"/>
  <c r="G18" i="94"/>
  <c r="D18" i="94"/>
  <c r="K17" i="94"/>
  <c r="L17" i="94" s="1"/>
  <c r="H17" i="94"/>
  <c r="G17" i="94"/>
  <c r="D17" i="94"/>
  <c r="K16" i="94"/>
  <c r="I16" i="94"/>
  <c r="H16" i="94"/>
  <c r="G16" i="94"/>
  <c r="E16" i="94"/>
  <c r="D16" i="94"/>
  <c r="K15" i="94"/>
  <c r="L15" i="94" s="1"/>
  <c r="H15" i="94"/>
  <c r="G15" i="94"/>
  <c r="D15" i="94"/>
  <c r="K14" i="94"/>
  <c r="H14" i="94"/>
  <c r="G14" i="94"/>
  <c r="D14" i="94"/>
  <c r="K13" i="94"/>
  <c r="L13" i="94" s="1"/>
  <c r="H13" i="94"/>
  <c r="G13" i="94"/>
  <c r="D13" i="94"/>
  <c r="K12" i="94"/>
  <c r="H12" i="94"/>
  <c r="G12" i="94"/>
  <c r="D12" i="94"/>
  <c r="K11" i="94"/>
  <c r="L11" i="94" s="1"/>
  <c r="I11" i="94"/>
  <c r="H11" i="94"/>
  <c r="G11" i="94"/>
  <c r="E11" i="94"/>
  <c r="D11" i="94"/>
  <c r="L10" i="94"/>
  <c r="K10" i="94"/>
  <c r="H10" i="94"/>
  <c r="G10" i="94"/>
  <c r="D10" i="94"/>
  <c r="K9" i="94"/>
  <c r="I10" i="94" s="1"/>
  <c r="E10" i="94" s="1"/>
  <c r="K30" i="93"/>
  <c r="L30" i="93" s="1"/>
  <c r="H30" i="93"/>
  <c r="G30" i="93"/>
  <c r="D30" i="93"/>
  <c r="K29" i="93"/>
  <c r="L29" i="93" s="1"/>
  <c r="J29" i="93" s="1"/>
  <c r="H29" i="93"/>
  <c r="G29" i="93"/>
  <c r="D29" i="93"/>
  <c r="A29" i="93"/>
  <c r="A30" i="93" s="1"/>
  <c r="L28" i="93"/>
  <c r="K28" i="93"/>
  <c r="I28" i="93" s="1"/>
  <c r="E28" i="93" s="1"/>
  <c r="H28" i="93"/>
  <c r="G28" i="93"/>
  <c r="D28" i="93"/>
  <c r="A28" i="93"/>
  <c r="K27" i="93"/>
  <c r="L27" i="93" s="1"/>
  <c r="J27" i="93"/>
  <c r="I27" i="93"/>
  <c r="H27" i="93"/>
  <c r="G27" i="93"/>
  <c r="F27" i="93"/>
  <c r="D27" i="93"/>
  <c r="A27" i="93"/>
  <c r="K26" i="93"/>
  <c r="L26" i="93" s="1"/>
  <c r="H26" i="93"/>
  <c r="G26" i="93"/>
  <c r="D26" i="93"/>
  <c r="K25" i="93"/>
  <c r="L25" i="93" s="1"/>
  <c r="I25" i="93"/>
  <c r="H25" i="93"/>
  <c r="G25" i="93"/>
  <c r="E25" i="93" s="1"/>
  <c r="D25" i="93"/>
  <c r="L24" i="93"/>
  <c r="K24" i="93"/>
  <c r="H24" i="93"/>
  <c r="G24" i="93"/>
  <c r="D24" i="93"/>
  <c r="K23" i="93"/>
  <c r="I24" i="93" s="1"/>
  <c r="E24" i="93" s="1"/>
  <c r="H23" i="93"/>
  <c r="G23" i="93"/>
  <c r="D23" i="93"/>
  <c r="K22" i="93"/>
  <c r="L22" i="93" s="1"/>
  <c r="I22" i="93"/>
  <c r="H22" i="93"/>
  <c r="G22" i="93"/>
  <c r="D22" i="93"/>
  <c r="K21" i="93"/>
  <c r="L21" i="93" s="1"/>
  <c r="H21" i="93"/>
  <c r="G21" i="93"/>
  <c r="D21" i="93"/>
  <c r="K20" i="93"/>
  <c r="L20" i="93" s="1"/>
  <c r="H20" i="93"/>
  <c r="G20" i="93"/>
  <c r="D20" i="93"/>
  <c r="K19" i="93"/>
  <c r="H19" i="93"/>
  <c r="G19" i="93"/>
  <c r="D19" i="93"/>
  <c r="K18" i="93"/>
  <c r="L18" i="93" s="1"/>
  <c r="J18" i="93" s="1"/>
  <c r="I18" i="93"/>
  <c r="H18" i="93"/>
  <c r="G18" i="93"/>
  <c r="D18" i="93"/>
  <c r="K17" i="93"/>
  <c r="L17" i="93" s="1"/>
  <c r="J17" i="93" s="1"/>
  <c r="I17" i="93"/>
  <c r="H17" i="93"/>
  <c r="G17" i="93"/>
  <c r="F17" i="93"/>
  <c r="E17" i="93"/>
  <c r="C17" i="93" s="1"/>
  <c r="D17" i="93"/>
  <c r="K16" i="93"/>
  <c r="L16" i="93" s="1"/>
  <c r="H16" i="93"/>
  <c r="G16" i="93"/>
  <c r="D16" i="93"/>
  <c r="K15" i="93"/>
  <c r="H15" i="93"/>
  <c r="G15" i="93"/>
  <c r="D15" i="93"/>
  <c r="K14" i="93"/>
  <c r="L14" i="93" s="1"/>
  <c r="H14" i="93"/>
  <c r="G14" i="93"/>
  <c r="D14" i="93"/>
  <c r="K13" i="93"/>
  <c r="L13" i="93" s="1"/>
  <c r="H13" i="93"/>
  <c r="G13" i="93"/>
  <c r="D13" i="93"/>
  <c r="K12" i="93"/>
  <c r="L12" i="93" s="1"/>
  <c r="I12" i="93"/>
  <c r="E12" i="93" s="1"/>
  <c r="H12" i="93"/>
  <c r="G12" i="93"/>
  <c r="D12" i="93"/>
  <c r="K11" i="93"/>
  <c r="L11" i="93" s="1"/>
  <c r="I11" i="93"/>
  <c r="H11" i="93"/>
  <c r="G11" i="93"/>
  <c r="E11" i="93"/>
  <c r="D11" i="93"/>
  <c r="L10" i="93"/>
  <c r="K10" i="93"/>
  <c r="H10" i="93"/>
  <c r="G10" i="93"/>
  <c r="D10" i="93"/>
  <c r="K9" i="93"/>
  <c r="K30" i="92"/>
  <c r="L30" i="92" s="1"/>
  <c r="H30" i="92"/>
  <c r="G30" i="92"/>
  <c r="D30" i="92"/>
  <c r="A30" i="92"/>
  <c r="K29" i="92"/>
  <c r="H29" i="92"/>
  <c r="G29" i="92"/>
  <c r="D29" i="92"/>
  <c r="A29" i="92"/>
  <c r="K28" i="92"/>
  <c r="L28" i="92" s="1"/>
  <c r="I28" i="92"/>
  <c r="E28" i="92" s="1"/>
  <c r="H28" i="92"/>
  <c r="G28" i="92"/>
  <c r="D28" i="92"/>
  <c r="A28" i="92"/>
  <c r="K27" i="92"/>
  <c r="H27" i="92"/>
  <c r="G27" i="92"/>
  <c r="D27" i="92"/>
  <c r="A27" i="92"/>
  <c r="K26" i="92"/>
  <c r="H26" i="92"/>
  <c r="G26" i="92"/>
  <c r="D26" i="92"/>
  <c r="K25" i="92"/>
  <c r="L25" i="92" s="1"/>
  <c r="H25" i="92"/>
  <c r="G25" i="92"/>
  <c r="D25" i="92"/>
  <c r="K24" i="92"/>
  <c r="L24" i="92" s="1"/>
  <c r="H24" i="92"/>
  <c r="G24" i="92"/>
  <c r="D24" i="92"/>
  <c r="K23" i="92"/>
  <c r="L23" i="92" s="1"/>
  <c r="H23" i="92"/>
  <c r="G23" i="92"/>
  <c r="D23" i="92"/>
  <c r="K22" i="92"/>
  <c r="H22" i="92"/>
  <c r="G22" i="92"/>
  <c r="D22" i="92"/>
  <c r="K21" i="92"/>
  <c r="L21" i="92" s="1"/>
  <c r="J21" i="92" s="1"/>
  <c r="H21" i="92"/>
  <c r="G21" i="92"/>
  <c r="D21" i="92"/>
  <c r="L20" i="92"/>
  <c r="K20" i="92"/>
  <c r="H20" i="92"/>
  <c r="G20" i="92"/>
  <c r="D20" i="92"/>
  <c r="K19" i="92"/>
  <c r="H19" i="92"/>
  <c r="G19" i="92"/>
  <c r="D19" i="92"/>
  <c r="K18" i="92"/>
  <c r="L18" i="92" s="1"/>
  <c r="I18" i="92"/>
  <c r="H18" i="92"/>
  <c r="G18" i="92"/>
  <c r="D18" i="92"/>
  <c r="K17" i="92"/>
  <c r="L17" i="92" s="1"/>
  <c r="J17" i="92" s="1"/>
  <c r="F17" i="92" s="1"/>
  <c r="H17" i="92"/>
  <c r="G17" i="92"/>
  <c r="D17" i="92"/>
  <c r="K16" i="92"/>
  <c r="L16" i="92" s="1"/>
  <c r="H16" i="92"/>
  <c r="G16" i="92"/>
  <c r="D16" i="92"/>
  <c r="K15" i="92"/>
  <c r="H15" i="92"/>
  <c r="G15" i="92"/>
  <c r="D15" i="92"/>
  <c r="K14" i="92"/>
  <c r="I14" i="92" s="1"/>
  <c r="E14" i="92" s="1"/>
  <c r="H14" i="92"/>
  <c r="G14" i="92"/>
  <c r="D14" i="92"/>
  <c r="K13" i="92"/>
  <c r="L13" i="92" s="1"/>
  <c r="H13" i="92"/>
  <c r="G13" i="92"/>
  <c r="D13" i="92"/>
  <c r="K12" i="92"/>
  <c r="H12" i="92"/>
  <c r="G12" i="92"/>
  <c r="D12" i="92"/>
  <c r="K11" i="92"/>
  <c r="H11" i="92"/>
  <c r="G11" i="92"/>
  <c r="D11" i="92"/>
  <c r="K10" i="92"/>
  <c r="L10" i="92" s="1"/>
  <c r="H10" i="92"/>
  <c r="G10" i="92"/>
  <c r="D10" i="92"/>
  <c r="K9" i="92"/>
  <c r="L9" i="92" s="1"/>
  <c r="K30" i="91"/>
  <c r="L30" i="91" s="1"/>
  <c r="H30" i="91"/>
  <c r="G30" i="91"/>
  <c r="D30" i="91"/>
  <c r="A30" i="91"/>
  <c r="K29" i="91"/>
  <c r="H29" i="91"/>
  <c r="G29" i="91"/>
  <c r="D29" i="91"/>
  <c r="A29" i="91"/>
  <c r="K28" i="91"/>
  <c r="L28" i="91" s="1"/>
  <c r="J28" i="91"/>
  <c r="I28" i="91"/>
  <c r="E28" i="91" s="1"/>
  <c r="H28" i="91"/>
  <c r="G28" i="91"/>
  <c r="D28" i="91"/>
  <c r="A28" i="91"/>
  <c r="K27" i="91"/>
  <c r="L27" i="91" s="1"/>
  <c r="H27" i="91"/>
  <c r="G27" i="91"/>
  <c r="D27" i="91"/>
  <c r="A27" i="91"/>
  <c r="K26" i="91"/>
  <c r="L26" i="91" s="1"/>
  <c r="H26" i="91"/>
  <c r="G26" i="91"/>
  <c r="D26" i="91"/>
  <c r="K25" i="91"/>
  <c r="H25" i="91"/>
  <c r="G25" i="91"/>
  <c r="D25" i="91"/>
  <c r="K24" i="91"/>
  <c r="L24" i="91" s="1"/>
  <c r="H24" i="91"/>
  <c r="G24" i="91"/>
  <c r="D24" i="91"/>
  <c r="K23" i="91"/>
  <c r="L23" i="91" s="1"/>
  <c r="I23" i="91"/>
  <c r="H23" i="91"/>
  <c r="G23" i="91"/>
  <c r="D23" i="91"/>
  <c r="K22" i="91"/>
  <c r="L22" i="91" s="1"/>
  <c r="H22" i="91"/>
  <c r="G22" i="91"/>
  <c r="D22" i="91"/>
  <c r="K21" i="91"/>
  <c r="L21" i="91" s="1"/>
  <c r="H21" i="91"/>
  <c r="G21" i="91"/>
  <c r="D21" i="91"/>
  <c r="K20" i="91"/>
  <c r="H20" i="91"/>
  <c r="G20" i="91"/>
  <c r="D20" i="91"/>
  <c r="K19" i="91"/>
  <c r="H19" i="91"/>
  <c r="G19" i="91"/>
  <c r="D19" i="91"/>
  <c r="K18" i="91"/>
  <c r="L18" i="91" s="1"/>
  <c r="H18" i="91"/>
  <c r="G18" i="91"/>
  <c r="D18" i="91"/>
  <c r="K17" i="91"/>
  <c r="I17" i="91"/>
  <c r="H17" i="91"/>
  <c r="G17" i="91"/>
  <c r="D17" i="91"/>
  <c r="K16" i="91"/>
  <c r="L16" i="91" s="1"/>
  <c r="I16" i="91"/>
  <c r="E16" i="91" s="1"/>
  <c r="H16" i="91"/>
  <c r="G16" i="91"/>
  <c r="D16" i="91"/>
  <c r="K15" i="91"/>
  <c r="L15" i="91" s="1"/>
  <c r="H15" i="91"/>
  <c r="G15" i="91"/>
  <c r="D15" i="91"/>
  <c r="K14" i="91"/>
  <c r="L14" i="91" s="1"/>
  <c r="H14" i="91"/>
  <c r="G14" i="91"/>
  <c r="D14" i="91"/>
  <c r="K13" i="91"/>
  <c r="H13" i="91"/>
  <c r="G13" i="91"/>
  <c r="D13" i="91"/>
  <c r="K12" i="91"/>
  <c r="L12" i="91" s="1"/>
  <c r="J12" i="91" s="1"/>
  <c r="I12" i="91"/>
  <c r="E12" i="91" s="1"/>
  <c r="H12" i="91"/>
  <c r="F12" i="91" s="1"/>
  <c r="G12" i="91"/>
  <c r="D12" i="91"/>
  <c r="K11" i="91"/>
  <c r="L11" i="91" s="1"/>
  <c r="H11" i="91"/>
  <c r="G11" i="91"/>
  <c r="D11" i="91"/>
  <c r="K10" i="91"/>
  <c r="L10" i="91" s="1"/>
  <c r="H10" i="91"/>
  <c r="G10" i="91"/>
  <c r="D10" i="91"/>
  <c r="K9" i="91"/>
  <c r="K30" i="90"/>
  <c r="L30" i="90" s="1"/>
  <c r="H30" i="90"/>
  <c r="G30" i="90"/>
  <c r="D30" i="90"/>
  <c r="A30" i="90"/>
  <c r="K29" i="90"/>
  <c r="I30" i="90" s="1"/>
  <c r="E30" i="90" s="1"/>
  <c r="H29" i="90"/>
  <c r="G29" i="90"/>
  <c r="D29" i="90"/>
  <c r="A29" i="90"/>
  <c r="K28" i="90"/>
  <c r="L28" i="90" s="1"/>
  <c r="J28" i="90" s="1"/>
  <c r="I28" i="90"/>
  <c r="H28" i="90"/>
  <c r="G28" i="90"/>
  <c r="D28" i="90"/>
  <c r="A28" i="90"/>
  <c r="K27" i="90"/>
  <c r="L27" i="90" s="1"/>
  <c r="H27" i="90"/>
  <c r="G27" i="90"/>
  <c r="D27" i="90"/>
  <c r="A27" i="90"/>
  <c r="K26" i="90"/>
  <c r="H26" i="90"/>
  <c r="G26" i="90"/>
  <c r="D26" i="90"/>
  <c r="K25" i="90"/>
  <c r="H25" i="90"/>
  <c r="G25" i="90"/>
  <c r="D25" i="90"/>
  <c r="K24" i="90"/>
  <c r="L24" i="90" s="1"/>
  <c r="H24" i="90"/>
  <c r="G24" i="90"/>
  <c r="D24" i="90"/>
  <c r="K23" i="90"/>
  <c r="L23" i="90" s="1"/>
  <c r="J23" i="90" s="1"/>
  <c r="I23" i="90"/>
  <c r="H23" i="90"/>
  <c r="G23" i="90"/>
  <c r="D23" i="90"/>
  <c r="K22" i="90"/>
  <c r="L22" i="90" s="1"/>
  <c r="H22" i="90"/>
  <c r="G22" i="90"/>
  <c r="D22" i="90"/>
  <c r="K21" i="90"/>
  <c r="L21" i="90" s="1"/>
  <c r="I21" i="90"/>
  <c r="E21" i="90" s="1"/>
  <c r="H21" i="90"/>
  <c r="G21" i="90"/>
  <c r="D21" i="90"/>
  <c r="K20" i="90"/>
  <c r="L20" i="90" s="1"/>
  <c r="H20" i="90"/>
  <c r="G20" i="90"/>
  <c r="D20" i="90"/>
  <c r="K19" i="90"/>
  <c r="H19" i="90"/>
  <c r="G19" i="90"/>
  <c r="D19" i="90"/>
  <c r="K18" i="90"/>
  <c r="L18" i="90" s="1"/>
  <c r="I18" i="90"/>
  <c r="E18" i="90" s="1"/>
  <c r="H18" i="90"/>
  <c r="G18" i="90"/>
  <c r="D18" i="90"/>
  <c r="K17" i="90"/>
  <c r="L17" i="90" s="1"/>
  <c r="H17" i="90"/>
  <c r="G17" i="90"/>
  <c r="D17" i="90"/>
  <c r="K16" i="90"/>
  <c r="I16" i="90"/>
  <c r="E16" i="90" s="1"/>
  <c r="H16" i="90"/>
  <c r="G16" i="90"/>
  <c r="D16" i="90"/>
  <c r="K15" i="90"/>
  <c r="L15" i="90" s="1"/>
  <c r="H15" i="90"/>
  <c r="G15" i="90"/>
  <c r="D15" i="90"/>
  <c r="K14" i="90"/>
  <c r="H14" i="90"/>
  <c r="G14" i="90"/>
  <c r="D14" i="90"/>
  <c r="K13" i="90"/>
  <c r="L13" i="90" s="1"/>
  <c r="I13" i="90"/>
  <c r="E13" i="90" s="1"/>
  <c r="H13" i="90"/>
  <c r="G13" i="90"/>
  <c r="D13" i="90"/>
  <c r="K12" i="90"/>
  <c r="H12" i="90"/>
  <c r="G12" i="90"/>
  <c r="D12" i="90"/>
  <c r="K11" i="90"/>
  <c r="L11" i="90" s="1"/>
  <c r="H11" i="90"/>
  <c r="G11" i="90"/>
  <c r="D11" i="90"/>
  <c r="K10" i="90"/>
  <c r="L10" i="90" s="1"/>
  <c r="H10" i="90"/>
  <c r="G10" i="90"/>
  <c r="D10" i="90"/>
  <c r="K9" i="90"/>
  <c r="K30" i="89"/>
  <c r="L30" i="89" s="1"/>
  <c r="H30" i="89"/>
  <c r="G30" i="89"/>
  <c r="D30" i="89"/>
  <c r="K29" i="89"/>
  <c r="H29" i="89"/>
  <c r="G29" i="89"/>
  <c r="D29" i="89"/>
  <c r="A29" i="89"/>
  <c r="A30" i="89" s="1"/>
  <c r="K28" i="89"/>
  <c r="L28" i="89" s="1"/>
  <c r="I28" i="89"/>
  <c r="E28" i="89" s="1"/>
  <c r="H28" i="89"/>
  <c r="G28" i="89"/>
  <c r="D28" i="89"/>
  <c r="A28" i="89"/>
  <c r="K27" i="89"/>
  <c r="H27" i="89"/>
  <c r="G27" i="89"/>
  <c r="D27" i="89"/>
  <c r="A27" i="89"/>
  <c r="K26" i="89"/>
  <c r="L26" i="89" s="1"/>
  <c r="I26" i="89"/>
  <c r="H26" i="89"/>
  <c r="G26" i="89"/>
  <c r="D26" i="89"/>
  <c r="K25" i="89"/>
  <c r="H25" i="89"/>
  <c r="G25" i="89"/>
  <c r="D25" i="89"/>
  <c r="K24" i="89"/>
  <c r="L24" i="89" s="1"/>
  <c r="H24" i="89"/>
  <c r="G24" i="89"/>
  <c r="D24" i="89"/>
  <c r="K23" i="89"/>
  <c r="I24" i="89" s="1"/>
  <c r="E24" i="89" s="1"/>
  <c r="I23" i="89"/>
  <c r="E23" i="89" s="1"/>
  <c r="H23" i="89"/>
  <c r="G23" i="89"/>
  <c r="D23" i="89"/>
  <c r="K22" i="89"/>
  <c r="L22" i="89" s="1"/>
  <c r="H22" i="89"/>
  <c r="G22" i="89"/>
  <c r="D22" i="89"/>
  <c r="K21" i="89"/>
  <c r="L21" i="89" s="1"/>
  <c r="H21" i="89"/>
  <c r="G21" i="89"/>
  <c r="D21" i="89"/>
  <c r="K20" i="89"/>
  <c r="L20" i="89" s="1"/>
  <c r="H20" i="89"/>
  <c r="G20" i="89"/>
  <c r="D20" i="89"/>
  <c r="K19" i="89"/>
  <c r="H19" i="89"/>
  <c r="G19" i="89"/>
  <c r="D19" i="89"/>
  <c r="K18" i="89"/>
  <c r="L18" i="89" s="1"/>
  <c r="H18" i="89"/>
  <c r="G18" i="89"/>
  <c r="D18" i="89"/>
  <c r="K17" i="89"/>
  <c r="L17" i="89" s="1"/>
  <c r="J17" i="89" s="1"/>
  <c r="I17" i="89"/>
  <c r="E17" i="89" s="1"/>
  <c r="H17" i="89"/>
  <c r="G17" i="89"/>
  <c r="D17" i="89"/>
  <c r="K16" i="89"/>
  <c r="L16" i="89" s="1"/>
  <c r="H16" i="89"/>
  <c r="G16" i="89"/>
  <c r="D16" i="89"/>
  <c r="K15" i="89"/>
  <c r="H15" i="89"/>
  <c r="G15" i="89"/>
  <c r="D15" i="89"/>
  <c r="K14" i="89"/>
  <c r="H14" i="89"/>
  <c r="G14" i="89"/>
  <c r="D14" i="89"/>
  <c r="K13" i="89"/>
  <c r="L13" i="89" s="1"/>
  <c r="H13" i="89"/>
  <c r="G13" i="89"/>
  <c r="D13" i="89"/>
  <c r="K12" i="89"/>
  <c r="I12" i="89"/>
  <c r="H12" i="89"/>
  <c r="G12" i="89"/>
  <c r="E12" i="89"/>
  <c r="D12" i="89"/>
  <c r="K11" i="89"/>
  <c r="L11" i="89" s="1"/>
  <c r="H11" i="89"/>
  <c r="G11" i="89"/>
  <c r="D11" i="89"/>
  <c r="L10" i="89"/>
  <c r="K10" i="89"/>
  <c r="H10" i="89"/>
  <c r="G10" i="89"/>
  <c r="D10" i="89"/>
  <c r="K9" i="89"/>
  <c r="I10" i="89" s="1"/>
  <c r="E10" i="89" s="1"/>
  <c r="K30" i="88"/>
  <c r="L30" i="88" s="1"/>
  <c r="H30" i="88"/>
  <c r="G30" i="88"/>
  <c r="D30" i="88"/>
  <c r="K29" i="88"/>
  <c r="H29" i="88"/>
  <c r="G29" i="88"/>
  <c r="D29" i="88"/>
  <c r="A29" i="88"/>
  <c r="A30" i="88" s="1"/>
  <c r="K28" i="88"/>
  <c r="L28" i="88" s="1"/>
  <c r="J28" i="88" s="1"/>
  <c r="I28" i="88"/>
  <c r="H28" i="88"/>
  <c r="G28" i="88"/>
  <c r="D28" i="88"/>
  <c r="A28" i="88"/>
  <c r="K27" i="88"/>
  <c r="L27" i="88" s="1"/>
  <c r="J27" i="88" s="1"/>
  <c r="I27" i="88"/>
  <c r="H27" i="88"/>
  <c r="G27" i="88"/>
  <c r="D27" i="88"/>
  <c r="A27" i="88"/>
  <c r="K26" i="88"/>
  <c r="L26" i="88" s="1"/>
  <c r="H26" i="88"/>
  <c r="G26" i="88"/>
  <c r="D26" i="88"/>
  <c r="K25" i="88"/>
  <c r="L25" i="88" s="1"/>
  <c r="H25" i="88"/>
  <c r="G25" i="88"/>
  <c r="D25" i="88"/>
  <c r="K24" i="88"/>
  <c r="L24" i="88" s="1"/>
  <c r="H24" i="88"/>
  <c r="G24" i="88"/>
  <c r="D24" i="88"/>
  <c r="K23" i="88"/>
  <c r="I24" i="88" s="1"/>
  <c r="H23" i="88"/>
  <c r="G23" i="88"/>
  <c r="D23" i="88"/>
  <c r="K22" i="88"/>
  <c r="L22" i="88" s="1"/>
  <c r="I22" i="88"/>
  <c r="H22" i="88"/>
  <c r="G22" i="88"/>
  <c r="D22" i="88"/>
  <c r="K21" i="88"/>
  <c r="L21" i="88" s="1"/>
  <c r="H21" i="88"/>
  <c r="G21" i="88"/>
  <c r="D21" i="88"/>
  <c r="K20" i="88"/>
  <c r="H20" i="88"/>
  <c r="G20" i="88"/>
  <c r="D20" i="88"/>
  <c r="K19" i="88"/>
  <c r="H19" i="88"/>
  <c r="G19" i="88"/>
  <c r="D19" i="88"/>
  <c r="K18" i="88"/>
  <c r="L18" i="88" s="1"/>
  <c r="H18" i="88"/>
  <c r="G18" i="88"/>
  <c r="D18" i="88"/>
  <c r="K17" i="88"/>
  <c r="I17" i="88" s="1"/>
  <c r="E17" i="88" s="1"/>
  <c r="H17" i="88"/>
  <c r="G17" i="88"/>
  <c r="D17" i="88"/>
  <c r="K16" i="88"/>
  <c r="L16" i="88" s="1"/>
  <c r="H16" i="88"/>
  <c r="G16" i="88"/>
  <c r="D16" i="88"/>
  <c r="K15" i="88"/>
  <c r="L15" i="88" s="1"/>
  <c r="H15" i="88"/>
  <c r="G15" i="88"/>
  <c r="D15" i="88"/>
  <c r="K14" i="88"/>
  <c r="H14" i="88"/>
  <c r="G14" i="88"/>
  <c r="D14" i="88"/>
  <c r="K13" i="88"/>
  <c r="L13" i="88" s="1"/>
  <c r="H13" i="88"/>
  <c r="G13" i="88"/>
  <c r="D13" i="88"/>
  <c r="K12" i="88"/>
  <c r="L12" i="88" s="1"/>
  <c r="I12" i="88"/>
  <c r="E12" i="88" s="1"/>
  <c r="H12" i="88"/>
  <c r="G12" i="88"/>
  <c r="D12" i="88"/>
  <c r="K11" i="88"/>
  <c r="L11" i="88" s="1"/>
  <c r="H11" i="88"/>
  <c r="G11" i="88"/>
  <c r="D11" i="88"/>
  <c r="K10" i="88"/>
  <c r="L10" i="88" s="1"/>
  <c r="H10" i="88"/>
  <c r="G10" i="88"/>
  <c r="D10" i="88"/>
  <c r="K9" i="88"/>
  <c r="K30" i="87"/>
  <c r="L30" i="87" s="1"/>
  <c r="H30" i="87"/>
  <c r="G30" i="87"/>
  <c r="D30" i="87"/>
  <c r="K29" i="87"/>
  <c r="I29" i="87" s="1"/>
  <c r="E29" i="87" s="1"/>
  <c r="H29" i="87"/>
  <c r="G29" i="87"/>
  <c r="D29" i="87"/>
  <c r="K28" i="87"/>
  <c r="L28" i="87" s="1"/>
  <c r="J28" i="87" s="1"/>
  <c r="I28" i="87"/>
  <c r="H28" i="87"/>
  <c r="G28" i="87"/>
  <c r="D28" i="87"/>
  <c r="A28" i="87"/>
  <c r="A29" i="87" s="1"/>
  <c r="A30" i="87" s="1"/>
  <c r="K27" i="87"/>
  <c r="L27" i="87" s="1"/>
  <c r="I27" i="87"/>
  <c r="E27" i="87" s="1"/>
  <c r="H27" i="87"/>
  <c r="G27" i="87"/>
  <c r="D27" i="87"/>
  <c r="A27" i="87"/>
  <c r="K26" i="87"/>
  <c r="L26" i="87" s="1"/>
  <c r="H26" i="87"/>
  <c r="G26" i="87"/>
  <c r="D26" i="87"/>
  <c r="K25" i="87"/>
  <c r="L25" i="87" s="1"/>
  <c r="H25" i="87"/>
  <c r="G25" i="87"/>
  <c r="D25" i="87"/>
  <c r="K24" i="87"/>
  <c r="I25" i="87" s="1"/>
  <c r="E25" i="87" s="1"/>
  <c r="H24" i="87"/>
  <c r="G24" i="87"/>
  <c r="D24" i="87"/>
  <c r="K23" i="87"/>
  <c r="H23" i="87"/>
  <c r="G23" i="87"/>
  <c r="D23" i="87"/>
  <c r="K22" i="87"/>
  <c r="H22" i="87"/>
  <c r="G22" i="87"/>
  <c r="D22" i="87"/>
  <c r="K21" i="87"/>
  <c r="H21" i="87"/>
  <c r="G21" i="87"/>
  <c r="D21" i="87"/>
  <c r="K20" i="87"/>
  <c r="L20" i="87" s="1"/>
  <c r="H20" i="87"/>
  <c r="G20" i="87"/>
  <c r="D20" i="87"/>
  <c r="K19" i="87"/>
  <c r="I19" i="87" s="1"/>
  <c r="H19" i="87"/>
  <c r="G19" i="87"/>
  <c r="D19" i="87"/>
  <c r="K18" i="87"/>
  <c r="L18" i="87" s="1"/>
  <c r="I18" i="87"/>
  <c r="H18" i="87"/>
  <c r="G18" i="87"/>
  <c r="D18" i="87"/>
  <c r="L17" i="87"/>
  <c r="K17" i="87"/>
  <c r="H17" i="87"/>
  <c r="G17" i="87"/>
  <c r="D17" i="87"/>
  <c r="K16" i="87"/>
  <c r="H16" i="87"/>
  <c r="G16" i="87"/>
  <c r="D16" i="87"/>
  <c r="L15" i="87"/>
  <c r="K15" i="87"/>
  <c r="H15" i="87"/>
  <c r="G15" i="87"/>
  <c r="D15" i="87"/>
  <c r="K14" i="87"/>
  <c r="I14" i="87" s="1"/>
  <c r="H14" i="87"/>
  <c r="G14" i="87"/>
  <c r="D14" i="87"/>
  <c r="K13" i="87"/>
  <c r="L13" i="87" s="1"/>
  <c r="H13" i="87"/>
  <c r="G13" i="87"/>
  <c r="D13" i="87"/>
  <c r="K12" i="87"/>
  <c r="L12" i="87" s="1"/>
  <c r="J12" i="87" s="1"/>
  <c r="H12" i="87"/>
  <c r="G12" i="87"/>
  <c r="D12" i="87"/>
  <c r="K11" i="87"/>
  <c r="L11" i="87" s="1"/>
  <c r="J11" i="87" s="1"/>
  <c r="I11" i="87"/>
  <c r="H11" i="87"/>
  <c r="G11" i="87"/>
  <c r="D11" i="87"/>
  <c r="L10" i="87"/>
  <c r="K10" i="87"/>
  <c r="H10" i="87"/>
  <c r="G10" i="87"/>
  <c r="D10" i="87"/>
  <c r="K9" i="87"/>
  <c r="I10" i="87" s="1"/>
  <c r="E10" i="87" s="1"/>
  <c r="K30" i="86"/>
  <c r="L30" i="86" s="1"/>
  <c r="H30" i="86"/>
  <c r="G30" i="86"/>
  <c r="D30" i="86"/>
  <c r="K29" i="86"/>
  <c r="H29" i="86"/>
  <c r="G29" i="86"/>
  <c r="D29" i="86"/>
  <c r="A29" i="86"/>
  <c r="A30" i="86" s="1"/>
  <c r="K28" i="86"/>
  <c r="L28" i="86" s="1"/>
  <c r="H28" i="86"/>
  <c r="G28" i="86"/>
  <c r="D28" i="86"/>
  <c r="A28" i="86"/>
  <c r="K27" i="86"/>
  <c r="H27" i="86"/>
  <c r="G27" i="86"/>
  <c r="D27" i="86"/>
  <c r="A27" i="86"/>
  <c r="K26" i="86"/>
  <c r="L26" i="86" s="1"/>
  <c r="H26" i="86"/>
  <c r="G26" i="86"/>
  <c r="D26" i="86"/>
  <c r="K25" i="86"/>
  <c r="H25" i="86"/>
  <c r="G25" i="86"/>
  <c r="D25" i="86"/>
  <c r="K24" i="86"/>
  <c r="L24" i="86" s="1"/>
  <c r="H24" i="86"/>
  <c r="G24" i="86"/>
  <c r="D24" i="86"/>
  <c r="K23" i="86"/>
  <c r="I24" i="86" s="1"/>
  <c r="E24" i="86" s="1"/>
  <c r="I23" i="86"/>
  <c r="H23" i="86"/>
  <c r="G23" i="86"/>
  <c r="D23" i="86"/>
  <c r="K22" i="86"/>
  <c r="L22" i="86" s="1"/>
  <c r="J22" i="86" s="1"/>
  <c r="H22" i="86"/>
  <c r="G22" i="86"/>
  <c r="D22" i="86"/>
  <c r="K21" i="86"/>
  <c r="L21" i="86" s="1"/>
  <c r="H21" i="86"/>
  <c r="G21" i="86"/>
  <c r="D21" i="86"/>
  <c r="K20" i="86"/>
  <c r="H20" i="86"/>
  <c r="G20" i="86"/>
  <c r="D20" i="86"/>
  <c r="K19" i="86"/>
  <c r="H19" i="86"/>
  <c r="G19" i="86"/>
  <c r="D19" i="86"/>
  <c r="L18" i="86"/>
  <c r="K18" i="86"/>
  <c r="H18" i="86"/>
  <c r="G18" i="86"/>
  <c r="D18" i="86"/>
  <c r="K17" i="86"/>
  <c r="H17" i="86"/>
  <c r="G17" i="86"/>
  <c r="D17" i="86"/>
  <c r="K16" i="86"/>
  <c r="L16" i="86" s="1"/>
  <c r="I16" i="86"/>
  <c r="E16" i="86" s="1"/>
  <c r="H16" i="86"/>
  <c r="G16" i="86"/>
  <c r="D16" i="86"/>
  <c r="K15" i="86"/>
  <c r="L15" i="86" s="1"/>
  <c r="H15" i="86"/>
  <c r="G15" i="86"/>
  <c r="D15" i="86"/>
  <c r="K14" i="86"/>
  <c r="L14" i="86" s="1"/>
  <c r="H14" i="86"/>
  <c r="G14" i="86"/>
  <c r="D14" i="86"/>
  <c r="K13" i="86"/>
  <c r="L13" i="86" s="1"/>
  <c r="I13" i="86"/>
  <c r="H13" i="86"/>
  <c r="G13" i="86"/>
  <c r="D13" i="86"/>
  <c r="K12" i="86"/>
  <c r="L12" i="86" s="1"/>
  <c r="I12" i="86"/>
  <c r="E12" i="86" s="1"/>
  <c r="H12" i="86"/>
  <c r="G12" i="86"/>
  <c r="D12" i="86"/>
  <c r="K11" i="86"/>
  <c r="L11" i="86" s="1"/>
  <c r="H11" i="86"/>
  <c r="G11" i="86"/>
  <c r="E11" i="86"/>
  <c r="D11" i="86"/>
  <c r="L10" i="86"/>
  <c r="K10" i="86"/>
  <c r="I11" i="86" s="1"/>
  <c r="H10" i="86"/>
  <c r="G10" i="86"/>
  <c r="D10" i="86"/>
  <c r="K9" i="86"/>
  <c r="K30" i="85"/>
  <c r="L30" i="85" s="1"/>
  <c r="H30" i="85"/>
  <c r="G30" i="85"/>
  <c r="D30" i="85"/>
  <c r="A30" i="85"/>
  <c r="K29" i="85"/>
  <c r="I29" i="85" s="1"/>
  <c r="H29" i="85"/>
  <c r="G29" i="85"/>
  <c r="D29" i="85"/>
  <c r="A29" i="85"/>
  <c r="K28" i="85"/>
  <c r="L28" i="85" s="1"/>
  <c r="H28" i="85"/>
  <c r="G28" i="85"/>
  <c r="D28" i="85"/>
  <c r="A28" i="85"/>
  <c r="K27" i="85"/>
  <c r="I27" i="85"/>
  <c r="E27" i="85" s="1"/>
  <c r="H27" i="85"/>
  <c r="G27" i="85"/>
  <c r="D27" i="85"/>
  <c r="A27" i="85"/>
  <c r="K26" i="85"/>
  <c r="L26" i="85" s="1"/>
  <c r="J26" i="85" s="1"/>
  <c r="F26" i="85" s="1"/>
  <c r="H26" i="85"/>
  <c r="G26" i="85"/>
  <c r="D26" i="85"/>
  <c r="K25" i="85"/>
  <c r="L25" i="85" s="1"/>
  <c r="H25" i="85"/>
  <c r="G25" i="85"/>
  <c r="D25" i="85"/>
  <c r="L24" i="85"/>
  <c r="K24" i="85"/>
  <c r="H24" i="85"/>
  <c r="G24" i="85"/>
  <c r="D24" i="85"/>
  <c r="K23" i="85"/>
  <c r="L23" i="85" s="1"/>
  <c r="J23" i="85" s="1"/>
  <c r="F23" i="85" s="1"/>
  <c r="H23" i="85"/>
  <c r="G23" i="85"/>
  <c r="D23" i="85"/>
  <c r="K22" i="85"/>
  <c r="L22" i="85" s="1"/>
  <c r="H22" i="85"/>
  <c r="G22" i="85"/>
  <c r="D22" i="85"/>
  <c r="K21" i="85"/>
  <c r="L21" i="85" s="1"/>
  <c r="H21" i="85"/>
  <c r="G21" i="85"/>
  <c r="D21" i="85"/>
  <c r="K20" i="85"/>
  <c r="L20" i="85" s="1"/>
  <c r="H20" i="85"/>
  <c r="G20" i="85"/>
  <c r="D20" i="85"/>
  <c r="K19" i="85"/>
  <c r="H19" i="85"/>
  <c r="G19" i="85"/>
  <c r="D19" i="85"/>
  <c r="K18" i="85"/>
  <c r="L18" i="85" s="1"/>
  <c r="J18" i="85" s="1"/>
  <c r="I18" i="85"/>
  <c r="H18" i="85"/>
  <c r="G18" i="85"/>
  <c r="D18" i="85"/>
  <c r="L17" i="85"/>
  <c r="J17" i="85" s="1"/>
  <c r="F17" i="85" s="1"/>
  <c r="K17" i="85"/>
  <c r="I17" i="85" s="1"/>
  <c r="E17" i="85" s="1"/>
  <c r="H17" i="85"/>
  <c r="G17" i="85"/>
  <c r="D17" i="85"/>
  <c r="K16" i="85"/>
  <c r="L16" i="85" s="1"/>
  <c r="H16" i="85"/>
  <c r="G16" i="85"/>
  <c r="D16" i="85"/>
  <c r="K15" i="85"/>
  <c r="I16" i="85" s="1"/>
  <c r="E16" i="85" s="1"/>
  <c r="H15" i="85"/>
  <c r="G15" i="85"/>
  <c r="D15" i="85"/>
  <c r="K14" i="85"/>
  <c r="I14" i="85" s="1"/>
  <c r="E14" i="85" s="1"/>
  <c r="H14" i="85"/>
  <c r="G14" i="85"/>
  <c r="D14" i="85"/>
  <c r="K13" i="85"/>
  <c r="L13" i="85" s="1"/>
  <c r="H13" i="85"/>
  <c r="G13" i="85"/>
  <c r="D13" i="85"/>
  <c r="K12" i="85"/>
  <c r="H12" i="85"/>
  <c r="G12" i="85"/>
  <c r="D12" i="85"/>
  <c r="K11" i="85"/>
  <c r="L11" i="85" s="1"/>
  <c r="H11" i="85"/>
  <c r="G11" i="85"/>
  <c r="D11" i="85"/>
  <c r="K10" i="85"/>
  <c r="L10" i="85" s="1"/>
  <c r="H10" i="85"/>
  <c r="G10" i="85"/>
  <c r="D10" i="85"/>
  <c r="K9" i="85"/>
  <c r="I10" i="85" s="1"/>
  <c r="E10" i="85" s="1"/>
  <c r="K30" i="84"/>
  <c r="L30" i="84" s="1"/>
  <c r="H30" i="84"/>
  <c r="G30" i="84"/>
  <c r="D30" i="84"/>
  <c r="A30" i="84"/>
  <c r="K29" i="84"/>
  <c r="H29" i="84"/>
  <c r="G29" i="84"/>
  <c r="D29" i="84"/>
  <c r="A29" i="84"/>
  <c r="K28" i="84"/>
  <c r="L28" i="84" s="1"/>
  <c r="H28" i="84"/>
  <c r="G28" i="84"/>
  <c r="D28" i="84"/>
  <c r="A28" i="84"/>
  <c r="K27" i="84"/>
  <c r="I27" i="84"/>
  <c r="E27" i="84" s="1"/>
  <c r="H27" i="84"/>
  <c r="G27" i="84"/>
  <c r="D27" i="84"/>
  <c r="A27" i="84"/>
  <c r="K26" i="84"/>
  <c r="L26" i="84" s="1"/>
  <c r="H26" i="84"/>
  <c r="G26" i="84"/>
  <c r="D26" i="84"/>
  <c r="K25" i="84"/>
  <c r="I25" i="84"/>
  <c r="H25" i="84"/>
  <c r="G25" i="84"/>
  <c r="D25" i="84"/>
  <c r="K24" i="84"/>
  <c r="H24" i="84"/>
  <c r="G24" i="84"/>
  <c r="D24" i="84"/>
  <c r="K23" i="84"/>
  <c r="L23" i="84" s="1"/>
  <c r="H23" i="84"/>
  <c r="G23" i="84"/>
  <c r="D23" i="84"/>
  <c r="K22" i="84"/>
  <c r="L22" i="84" s="1"/>
  <c r="I22" i="84"/>
  <c r="H22" i="84"/>
  <c r="G22" i="84"/>
  <c r="D22" i="84"/>
  <c r="K21" i="84"/>
  <c r="L21" i="84" s="1"/>
  <c r="H21" i="84"/>
  <c r="G21" i="84"/>
  <c r="D21" i="84"/>
  <c r="K20" i="84"/>
  <c r="I21" i="84" s="1"/>
  <c r="E21" i="84" s="1"/>
  <c r="H20" i="84"/>
  <c r="G20" i="84"/>
  <c r="D20" i="84"/>
  <c r="K19" i="84"/>
  <c r="H19" i="84"/>
  <c r="G19" i="84"/>
  <c r="D19" i="84"/>
  <c r="K18" i="84"/>
  <c r="L18" i="84" s="1"/>
  <c r="H18" i="84"/>
  <c r="G18" i="84"/>
  <c r="D18" i="84"/>
  <c r="K17" i="84"/>
  <c r="I17" i="84"/>
  <c r="H17" i="84"/>
  <c r="G17" i="84"/>
  <c r="E17" i="84"/>
  <c r="D17" i="84"/>
  <c r="K16" i="84"/>
  <c r="L16" i="84" s="1"/>
  <c r="H16" i="84"/>
  <c r="G16" i="84"/>
  <c r="D16" i="84"/>
  <c r="K15" i="84"/>
  <c r="L15" i="84" s="1"/>
  <c r="H15" i="84"/>
  <c r="G15" i="84"/>
  <c r="D15" i="84"/>
  <c r="K14" i="84"/>
  <c r="H14" i="84"/>
  <c r="G14" i="84"/>
  <c r="D14" i="84"/>
  <c r="K13" i="84"/>
  <c r="L13" i="84" s="1"/>
  <c r="H13" i="84"/>
  <c r="G13" i="84"/>
  <c r="D13" i="84"/>
  <c r="K12" i="84"/>
  <c r="L12" i="84" s="1"/>
  <c r="H12" i="84"/>
  <c r="G12" i="84"/>
  <c r="D12" i="84"/>
  <c r="K11" i="84"/>
  <c r="I11" i="84"/>
  <c r="E11" i="84" s="1"/>
  <c r="H11" i="84"/>
  <c r="G11" i="84"/>
  <c r="D11" i="84"/>
  <c r="L10" i="84"/>
  <c r="K10" i="84"/>
  <c r="H10" i="84"/>
  <c r="G10" i="84"/>
  <c r="D10" i="84"/>
  <c r="K9" i="84"/>
  <c r="L9" i="84" s="1"/>
  <c r="K30" i="83"/>
  <c r="L30" i="83" s="1"/>
  <c r="H30" i="83"/>
  <c r="G30" i="83"/>
  <c r="D30" i="83"/>
  <c r="K29" i="83"/>
  <c r="L29" i="83" s="1"/>
  <c r="H29" i="83"/>
  <c r="G29" i="83"/>
  <c r="D29" i="83"/>
  <c r="K28" i="83"/>
  <c r="L28" i="83" s="1"/>
  <c r="H28" i="83"/>
  <c r="G28" i="83"/>
  <c r="D28" i="83"/>
  <c r="K27" i="83"/>
  <c r="H27" i="83"/>
  <c r="G27" i="83"/>
  <c r="D27" i="83"/>
  <c r="A27" i="83"/>
  <c r="A28" i="83" s="1"/>
  <c r="A29" i="83" s="1"/>
  <c r="A30" i="83" s="1"/>
  <c r="K26" i="83"/>
  <c r="H26" i="83"/>
  <c r="G26" i="83"/>
  <c r="D26" i="83"/>
  <c r="K25" i="83"/>
  <c r="L25" i="83" s="1"/>
  <c r="J25" i="83" s="1"/>
  <c r="F25" i="83" s="1"/>
  <c r="I25" i="83"/>
  <c r="E25" i="83" s="1"/>
  <c r="H25" i="83"/>
  <c r="G25" i="83"/>
  <c r="D25" i="83"/>
  <c r="K24" i="83"/>
  <c r="L24" i="83" s="1"/>
  <c r="H24" i="83"/>
  <c r="G24" i="83"/>
  <c r="D24" i="83"/>
  <c r="K23" i="83"/>
  <c r="L23" i="83" s="1"/>
  <c r="J23" i="83" s="1"/>
  <c r="F23" i="83" s="1"/>
  <c r="H23" i="83"/>
  <c r="G23" i="83"/>
  <c r="D23" i="83"/>
  <c r="L22" i="83"/>
  <c r="J22" i="83" s="1"/>
  <c r="F22" i="83" s="1"/>
  <c r="K22" i="83"/>
  <c r="H22" i="83"/>
  <c r="G22" i="83"/>
  <c r="D22" i="83"/>
  <c r="K21" i="83"/>
  <c r="L21" i="83" s="1"/>
  <c r="H21" i="83"/>
  <c r="G21" i="83"/>
  <c r="D21" i="83"/>
  <c r="K20" i="83"/>
  <c r="L20" i="83" s="1"/>
  <c r="H20" i="83"/>
  <c r="G20" i="83"/>
  <c r="D20" i="83"/>
  <c r="K19" i="83"/>
  <c r="L19" i="83" s="1"/>
  <c r="J19" i="83" s="1"/>
  <c r="F19" i="83" s="1"/>
  <c r="I19" i="83"/>
  <c r="E19" i="83" s="1"/>
  <c r="C19" i="83" s="1"/>
  <c r="H19" i="83"/>
  <c r="G19" i="83"/>
  <c r="D19" i="83"/>
  <c r="K18" i="83"/>
  <c r="L18" i="83" s="1"/>
  <c r="H18" i="83"/>
  <c r="G18" i="83"/>
  <c r="D18" i="83"/>
  <c r="K17" i="83"/>
  <c r="H17" i="83"/>
  <c r="G17" i="83"/>
  <c r="D17" i="83"/>
  <c r="K16" i="83"/>
  <c r="L16" i="83" s="1"/>
  <c r="H16" i="83"/>
  <c r="G16" i="83"/>
  <c r="D16" i="83"/>
  <c r="K15" i="83"/>
  <c r="L15" i="83" s="1"/>
  <c r="H15" i="83"/>
  <c r="G15" i="83"/>
  <c r="D15" i="83"/>
  <c r="K14" i="83"/>
  <c r="H14" i="83"/>
  <c r="G14" i="83"/>
  <c r="D14" i="83"/>
  <c r="K13" i="83"/>
  <c r="H13" i="83"/>
  <c r="G13" i="83"/>
  <c r="D13" i="83"/>
  <c r="K12" i="83"/>
  <c r="L12" i="83" s="1"/>
  <c r="I12" i="83"/>
  <c r="E12" i="83" s="1"/>
  <c r="H12" i="83"/>
  <c r="G12" i="83"/>
  <c r="D12" i="83"/>
  <c r="K11" i="83"/>
  <c r="I11" i="83" s="1"/>
  <c r="E11" i="83" s="1"/>
  <c r="H11" i="83"/>
  <c r="G11" i="83"/>
  <c r="D11" i="83"/>
  <c r="L10" i="83"/>
  <c r="J10" i="83" s="1"/>
  <c r="F10" i="83" s="1"/>
  <c r="K10" i="83"/>
  <c r="H10" i="83"/>
  <c r="G10" i="83"/>
  <c r="D10" i="83"/>
  <c r="K9" i="83"/>
  <c r="L9" i="83" s="1"/>
  <c r="K30" i="50"/>
  <c r="L30" i="50" s="1"/>
  <c r="H30" i="50"/>
  <c r="G30" i="50"/>
  <c r="D30" i="50"/>
  <c r="K29" i="50"/>
  <c r="H29" i="50"/>
  <c r="G29" i="50"/>
  <c r="D29" i="50"/>
  <c r="K28" i="50"/>
  <c r="L28" i="50" s="1"/>
  <c r="H28" i="50"/>
  <c r="G28" i="50"/>
  <c r="D28" i="50"/>
  <c r="K27" i="50"/>
  <c r="L27" i="50" s="1"/>
  <c r="H27" i="50"/>
  <c r="G27" i="50"/>
  <c r="D27" i="50"/>
  <c r="A27" i="50"/>
  <c r="A28" i="50" s="1"/>
  <c r="A29" i="50" s="1"/>
  <c r="A30" i="50" s="1"/>
  <c r="K26" i="50"/>
  <c r="H26" i="50"/>
  <c r="G26" i="50"/>
  <c r="D26" i="50"/>
  <c r="K25" i="50"/>
  <c r="I25" i="50" s="1"/>
  <c r="E25" i="50" s="1"/>
  <c r="H25" i="50"/>
  <c r="G25" i="50"/>
  <c r="D25" i="50"/>
  <c r="K24" i="50"/>
  <c r="L24" i="50" s="1"/>
  <c r="H24" i="50"/>
  <c r="G24" i="50"/>
  <c r="D24" i="50"/>
  <c r="K23" i="50"/>
  <c r="L23" i="50" s="1"/>
  <c r="H23" i="50"/>
  <c r="G23" i="50"/>
  <c r="D23" i="50"/>
  <c r="K22" i="50"/>
  <c r="H22" i="50"/>
  <c r="G22" i="50"/>
  <c r="D22" i="50"/>
  <c r="K21" i="50"/>
  <c r="L21" i="50" s="1"/>
  <c r="H21" i="50"/>
  <c r="G21" i="50"/>
  <c r="D21" i="50"/>
  <c r="K20" i="50"/>
  <c r="L20" i="50" s="1"/>
  <c r="H20" i="50"/>
  <c r="G20" i="50"/>
  <c r="D20" i="50"/>
  <c r="K19" i="50"/>
  <c r="H19" i="50"/>
  <c r="G19" i="50"/>
  <c r="D19" i="50"/>
  <c r="K18" i="50"/>
  <c r="H18" i="50"/>
  <c r="G18" i="50"/>
  <c r="D18" i="50"/>
  <c r="K17" i="50"/>
  <c r="L17" i="50" s="1"/>
  <c r="H17" i="50"/>
  <c r="G17" i="50"/>
  <c r="D17" i="50"/>
  <c r="K16" i="50"/>
  <c r="H16" i="50"/>
  <c r="G16" i="50"/>
  <c r="D16" i="50"/>
  <c r="K15" i="50"/>
  <c r="L15" i="50" s="1"/>
  <c r="H15" i="50"/>
  <c r="G15" i="50"/>
  <c r="D15" i="50"/>
  <c r="K14" i="50"/>
  <c r="L14" i="50" s="1"/>
  <c r="H14" i="50"/>
  <c r="G14" i="50"/>
  <c r="D14" i="50"/>
  <c r="K13" i="50"/>
  <c r="L13" i="50" s="1"/>
  <c r="H13" i="50"/>
  <c r="G13" i="50"/>
  <c r="D13" i="50"/>
  <c r="K12" i="50"/>
  <c r="H12" i="50"/>
  <c r="G12" i="50"/>
  <c r="D12" i="50"/>
  <c r="K11" i="50"/>
  <c r="L11" i="50" s="1"/>
  <c r="H11" i="50"/>
  <c r="G11" i="50"/>
  <c r="D11" i="50"/>
  <c r="K10" i="50"/>
  <c r="L10" i="50" s="1"/>
  <c r="H10" i="50"/>
  <c r="G10" i="50"/>
  <c r="D10" i="50"/>
  <c r="K9" i="50"/>
  <c r="L9" i="50" s="1"/>
  <c r="L28" i="102" l="1"/>
  <c r="J28" i="102" s="1"/>
  <c r="F28" i="102" s="1"/>
  <c r="I28" i="102"/>
  <c r="E28" i="102" s="1"/>
  <c r="C28" i="102" s="1"/>
  <c r="B27" i="102" s="1"/>
  <c r="L27" i="111"/>
  <c r="J27" i="111" s="1"/>
  <c r="F27" i="111" s="1"/>
  <c r="I27" i="111"/>
  <c r="E27" i="111" s="1"/>
  <c r="I28" i="111"/>
  <c r="E28" i="111" s="1"/>
  <c r="L24" i="87"/>
  <c r="J25" i="87" s="1"/>
  <c r="F25" i="87" s="1"/>
  <c r="C25" i="87" s="1"/>
  <c r="L27" i="100"/>
  <c r="J28" i="100" s="1"/>
  <c r="F28" i="100" s="1"/>
  <c r="I27" i="100"/>
  <c r="E27" i="100" s="1"/>
  <c r="C27" i="100" s="1"/>
  <c r="B26" i="100" s="1"/>
  <c r="B25" i="100" s="1"/>
  <c r="B24" i="100" s="1"/>
  <c r="B23" i="100" s="1"/>
  <c r="I28" i="100"/>
  <c r="E28" i="100" s="1"/>
  <c r="C28" i="100" s="1"/>
  <c r="B27" i="100" s="1"/>
  <c r="I11" i="103"/>
  <c r="E11" i="103" s="1"/>
  <c r="L10" i="103"/>
  <c r="J11" i="103" s="1"/>
  <c r="F11" i="103" s="1"/>
  <c r="C11" i="103" s="1"/>
  <c r="L21" i="87"/>
  <c r="J21" i="87" s="1"/>
  <c r="F21" i="87" s="1"/>
  <c r="I22" i="87"/>
  <c r="E22" i="87" s="1"/>
  <c r="L12" i="92"/>
  <c r="I13" i="92"/>
  <c r="E13" i="92" s="1"/>
  <c r="I12" i="92"/>
  <c r="E12" i="92" s="1"/>
  <c r="I25" i="94"/>
  <c r="E25" i="94" s="1"/>
  <c r="L24" i="94"/>
  <c r="J25" i="94" s="1"/>
  <c r="F25" i="94" s="1"/>
  <c r="L11" i="100"/>
  <c r="J11" i="100" s="1"/>
  <c r="F11" i="100" s="1"/>
  <c r="I12" i="100"/>
  <c r="E12" i="100" s="1"/>
  <c r="I11" i="100"/>
  <c r="E11" i="100" s="1"/>
  <c r="L17" i="86"/>
  <c r="I17" i="86"/>
  <c r="E17" i="86" s="1"/>
  <c r="I18" i="86"/>
  <c r="E18" i="86" s="1"/>
  <c r="E18" i="87"/>
  <c r="E21" i="94"/>
  <c r="C21" i="94" s="1"/>
  <c r="I24" i="97"/>
  <c r="E24" i="97" s="1"/>
  <c r="I23" i="97"/>
  <c r="E23" i="97" s="1"/>
  <c r="I18" i="110"/>
  <c r="E18" i="110" s="1"/>
  <c r="L21" i="110"/>
  <c r="I22" i="110"/>
  <c r="E22" i="110" s="1"/>
  <c r="L27" i="86"/>
  <c r="J27" i="86" s="1"/>
  <c r="F27" i="86" s="1"/>
  <c r="I27" i="86"/>
  <c r="I28" i="86"/>
  <c r="E28" i="86" s="1"/>
  <c r="L25" i="91"/>
  <c r="J26" i="91" s="1"/>
  <c r="F26" i="91" s="1"/>
  <c r="I26" i="91"/>
  <c r="E26" i="91" s="1"/>
  <c r="C26" i="91" s="1"/>
  <c r="I25" i="91"/>
  <c r="E25" i="91" s="1"/>
  <c r="L20" i="97"/>
  <c r="I21" i="97"/>
  <c r="E21" i="97" s="1"/>
  <c r="L17" i="107"/>
  <c r="I17" i="107"/>
  <c r="E17" i="107" s="1"/>
  <c r="F12" i="87"/>
  <c r="I24" i="96"/>
  <c r="E24" i="96" s="1"/>
  <c r="I23" i="96"/>
  <c r="E23" i="96" s="1"/>
  <c r="L20" i="109"/>
  <c r="I21" i="109"/>
  <c r="E21" i="109" s="1"/>
  <c r="L27" i="85"/>
  <c r="J28" i="85" s="1"/>
  <c r="F28" i="85" s="1"/>
  <c r="I28" i="85"/>
  <c r="E28" i="85" s="1"/>
  <c r="C28" i="85" s="1"/>
  <c r="B27" i="85" s="1"/>
  <c r="F28" i="91"/>
  <c r="C28" i="91" s="1"/>
  <c r="B27" i="91" s="1"/>
  <c r="L17" i="97"/>
  <c r="I18" i="97"/>
  <c r="E18" i="97" s="1"/>
  <c r="L15" i="85"/>
  <c r="E18" i="85"/>
  <c r="L25" i="90"/>
  <c r="J25" i="90" s="1"/>
  <c r="F25" i="90" s="1"/>
  <c r="I25" i="90"/>
  <c r="E25" i="90" s="1"/>
  <c r="L20" i="96"/>
  <c r="I21" i="96"/>
  <c r="E21" i="96" s="1"/>
  <c r="L17" i="109"/>
  <c r="J17" i="109" s="1"/>
  <c r="F17" i="109" s="1"/>
  <c r="I17" i="109"/>
  <c r="E17" i="109" s="1"/>
  <c r="C17" i="109" s="1"/>
  <c r="I18" i="109"/>
  <c r="E18" i="109" s="1"/>
  <c r="C18" i="109" s="1"/>
  <c r="L27" i="84"/>
  <c r="I28" i="84"/>
  <c r="E28" i="84" s="1"/>
  <c r="L12" i="85"/>
  <c r="J13" i="85" s="1"/>
  <c r="F13" i="85" s="1"/>
  <c r="I13" i="85"/>
  <c r="F18" i="85"/>
  <c r="E28" i="90"/>
  <c r="L13" i="83"/>
  <c r="I14" i="83"/>
  <c r="E14" i="83" s="1"/>
  <c r="I13" i="83"/>
  <c r="E13" i="83" s="1"/>
  <c r="L13" i="91"/>
  <c r="J13" i="91" s="1"/>
  <c r="F13" i="91" s="1"/>
  <c r="I13" i="91"/>
  <c r="E23" i="91"/>
  <c r="L17" i="96"/>
  <c r="J17" i="96" s="1"/>
  <c r="F17" i="96" s="1"/>
  <c r="I18" i="96"/>
  <c r="E18" i="96" s="1"/>
  <c r="I10" i="104"/>
  <c r="E10" i="104" s="1"/>
  <c r="I11" i="104"/>
  <c r="E11" i="104" s="1"/>
  <c r="L10" i="104"/>
  <c r="J10" i="104" s="1"/>
  <c r="F10" i="104" s="1"/>
  <c r="C10" i="104" s="1"/>
  <c r="E18" i="106"/>
  <c r="I24" i="106"/>
  <c r="E24" i="106" s="1"/>
  <c r="L24" i="106"/>
  <c r="E25" i="84"/>
  <c r="E27" i="99"/>
  <c r="C22" i="111"/>
  <c r="L25" i="111"/>
  <c r="I26" i="111"/>
  <c r="E26" i="111" s="1"/>
  <c r="L25" i="84"/>
  <c r="I26" i="84"/>
  <c r="E26" i="84" s="1"/>
  <c r="J28" i="89"/>
  <c r="F28" i="89" s="1"/>
  <c r="C28" i="89" s="1"/>
  <c r="B27" i="89" s="1"/>
  <c r="B26" i="89" s="1"/>
  <c r="L16" i="90"/>
  <c r="J17" i="90" s="1"/>
  <c r="F17" i="90" s="1"/>
  <c r="I17" i="90"/>
  <c r="E17" i="90" s="1"/>
  <c r="C17" i="90" s="1"/>
  <c r="F18" i="94"/>
  <c r="C18" i="94" s="1"/>
  <c r="L27" i="99"/>
  <c r="J27" i="99" s="1"/>
  <c r="F27" i="99" s="1"/>
  <c r="C27" i="99" s="1"/>
  <c r="I28" i="99"/>
  <c r="E28" i="99" s="1"/>
  <c r="L15" i="106"/>
  <c r="I16" i="106"/>
  <c r="E16" i="106" s="1"/>
  <c r="L22" i="111"/>
  <c r="J22" i="111" s="1"/>
  <c r="F22" i="111" s="1"/>
  <c r="I23" i="111"/>
  <c r="E23" i="111" s="1"/>
  <c r="L25" i="86"/>
  <c r="I25" i="86"/>
  <c r="E25" i="86" s="1"/>
  <c r="I26" i="86"/>
  <c r="E26" i="86" s="1"/>
  <c r="E26" i="89"/>
  <c r="L26" i="92"/>
  <c r="I26" i="92"/>
  <c r="E26" i="92" s="1"/>
  <c r="C11" i="93"/>
  <c r="L12" i="94"/>
  <c r="J12" i="94" s="1"/>
  <c r="F12" i="94" s="1"/>
  <c r="C12" i="94" s="1"/>
  <c r="I12" i="94"/>
  <c r="E12" i="94" s="1"/>
  <c r="I13" i="94"/>
  <c r="F27" i="95"/>
  <c r="E23" i="102"/>
  <c r="C23" i="102" s="1"/>
  <c r="L24" i="104"/>
  <c r="J24" i="104" s="1"/>
  <c r="F24" i="104" s="1"/>
  <c r="C24" i="104" s="1"/>
  <c r="L22" i="87"/>
  <c r="I23" i="87"/>
  <c r="E23" i="87" s="1"/>
  <c r="C17" i="89"/>
  <c r="I26" i="90"/>
  <c r="E26" i="90" s="1"/>
  <c r="F21" i="95"/>
  <c r="C25" i="95"/>
  <c r="L15" i="99"/>
  <c r="I16" i="99"/>
  <c r="E16" i="99" s="1"/>
  <c r="E22" i="99"/>
  <c r="L10" i="102"/>
  <c r="J10" i="102" s="1"/>
  <c r="F10" i="102" s="1"/>
  <c r="F23" i="102"/>
  <c r="L15" i="104"/>
  <c r="I16" i="104"/>
  <c r="E16" i="104" s="1"/>
  <c r="J18" i="104"/>
  <c r="F18" i="104" s="1"/>
  <c r="C18" i="104" s="1"/>
  <c r="L21" i="104"/>
  <c r="I22" i="104"/>
  <c r="E22" i="104" s="1"/>
  <c r="L12" i="106"/>
  <c r="J12" i="106" s="1"/>
  <c r="F12" i="106" s="1"/>
  <c r="I13" i="106"/>
  <c r="E13" i="106" s="1"/>
  <c r="L28" i="107"/>
  <c r="J28" i="107" s="1"/>
  <c r="F28" i="107" s="1"/>
  <c r="I28" i="107"/>
  <c r="E28" i="107" s="1"/>
  <c r="C28" i="107" s="1"/>
  <c r="B27" i="107" s="1"/>
  <c r="J28" i="86"/>
  <c r="F28" i="86" s="1"/>
  <c r="C28" i="86" s="1"/>
  <c r="B27" i="86" s="1"/>
  <c r="B26" i="86" s="1"/>
  <c r="L16" i="87"/>
  <c r="I16" i="87"/>
  <c r="E16" i="87" s="1"/>
  <c r="I17" i="87"/>
  <c r="E17" i="87" s="1"/>
  <c r="F17" i="89"/>
  <c r="L12" i="98"/>
  <c r="J12" i="98" s="1"/>
  <c r="F12" i="98" s="1"/>
  <c r="I13" i="98"/>
  <c r="E13" i="98" s="1"/>
  <c r="L15" i="109"/>
  <c r="I16" i="109"/>
  <c r="E16" i="109" s="1"/>
  <c r="I23" i="84"/>
  <c r="E23" i="84" s="1"/>
  <c r="C23" i="84" s="1"/>
  <c r="L25" i="97"/>
  <c r="I25" i="97"/>
  <c r="E25" i="97" s="1"/>
  <c r="L12" i="99"/>
  <c r="J12" i="99" s="1"/>
  <c r="F12" i="99" s="1"/>
  <c r="C12" i="99" s="1"/>
  <c r="I13" i="99"/>
  <c r="E13" i="99" s="1"/>
  <c r="L17" i="101"/>
  <c r="I17" i="101"/>
  <c r="E17" i="101" s="1"/>
  <c r="I18" i="101"/>
  <c r="E18" i="101" s="1"/>
  <c r="L26" i="101"/>
  <c r="J26" i="101" s="1"/>
  <c r="F26" i="101" s="1"/>
  <c r="I27" i="101"/>
  <c r="E27" i="101" s="1"/>
  <c r="I17" i="102"/>
  <c r="E17" i="102" s="1"/>
  <c r="L12" i="104"/>
  <c r="J12" i="104" s="1"/>
  <c r="F12" i="104" s="1"/>
  <c r="I13" i="104"/>
  <c r="E13" i="104" s="1"/>
  <c r="L20" i="84"/>
  <c r="E21" i="88"/>
  <c r="J17" i="102"/>
  <c r="F17" i="102" s="1"/>
  <c r="L27" i="108"/>
  <c r="I28" i="108"/>
  <c r="E28" i="108" s="1"/>
  <c r="E29" i="85"/>
  <c r="E18" i="92"/>
  <c r="I13" i="95"/>
  <c r="E13" i="95" s="1"/>
  <c r="I16" i="95"/>
  <c r="E16" i="95" s="1"/>
  <c r="L25" i="95"/>
  <c r="J25" i="95" s="1"/>
  <c r="F25" i="95" s="1"/>
  <c r="I25" i="95"/>
  <c r="E25" i="95" s="1"/>
  <c r="E28" i="97"/>
  <c r="L13" i="107"/>
  <c r="J13" i="107" s="1"/>
  <c r="F13" i="107" s="1"/>
  <c r="I13" i="107"/>
  <c r="E13" i="107" s="1"/>
  <c r="F27" i="88"/>
  <c r="I18" i="89"/>
  <c r="E18" i="89" s="1"/>
  <c r="C18" i="89" s="1"/>
  <c r="I21" i="89"/>
  <c r="E21" i="89" s="1"/>
  <c r="C21" i="89" s="1"/>
  <c r="L15" i="92"/>
  <c r="I16" i="92"/>
  <c r="E16" i="92" s="1"/>
  <c r="I21" i="92"/>
  <c r="E21" i="92" s="1"/>
  <c r="L26" i="94"/>
  <c r="J27" i="94" s="1"/>
  <c r="F27" i="94" s="1"/>
  <c r="I27" i="94"/>
  <c r="E27" i="94" s="1"/>
  <c r="C27" i="94" s="1"/>
  <c r="J28" i="97"/>
  <c r="F28" i="97" s="1"/>
  <c r="C28" i="97" s="1"/>
  <c r="B27" i="97" s="1"/>
  <c r="L26" i="106"/>
  <c r="I26" i="106"/>
  <c r="E26" i="106" s="1"/>
  <c r="L20" i="86"/>
  <c r="I21" i="86"/>
  <c r="E21" i="86" s="1"/>
  <c r="L15" i="89"/>
  <c r="J16" i="89" s="1"/>
  <c r="F16" i="89" s="1"/>
  <c r="I16" i="89"/>
  <c r="E16" i="89" s="1"/>
  <c r="F21" i="92"/>
  <c r="C21" i="92" s="1"/>
  <c r="C11" i="95"/>
  <c r="L26" i="96"/>
  <c r="I26" i="96"/>
  <c r="E26" i="96" s="1"/>
  <c r="E28" i="103"/>
  <c r="L23" i="106"/>
  <c r="J23" i="106" s="1"/>
  <c r="F23" i="106" s="1"/>
  <c r="I23" i="106"/>
  <c r="E23" i="106" s="1"/>
  <c r="C23" i="106" s="1"/>
  <c r="L25" i="96"/>
  <c r="J25" i="96" s="1"/>
  <c r="F25" i="96" s="1"/>
  <c r="C25" i="96" s="1"/>
  <c r="I25" i="96"/>
  <c r="E25" i="96" s="1"/>
  <c r="F17" i="98"/>
  <c r="L16" i="99"/>
  <c r="I17" i="99"/>
  <c r="E17" i="99" s="1"/>
  <c r="L13" i="105"/>
  <c r="J13" i="105" s="1"/>
  <c r="F13" i="105" s="1"/>
  <c r="I13" i="105"/>
  <c r="F12" i="108"/>
  <c r="C12" i="108" s="1"/>
  <c r="E25" i="108"/>
  <c r="C25" i="108" s="1"/>
  <c r="L26" i="110"/>
  <c r="J26" i="110" s="1"/>
  <c r="F26" i="110" s="1"/>
  <c r="I26" i="110"/>
  <c r="E26" i="110" s="1"/>
  <c r="L20" i="111"/>
  <c r="I21" i="111"/>
  <c r="E21" i="111" s="1"/>
  <c r="I20" i="50"/>
  <c r="E20" i="50" s="1"/>
  <c r="L11" i="83"/>
  <c r="J11" i="83" s="1"/>
  <c r="F11" i="83" s="1"/>
  <c r="C11" i="83" s="1"/>
  <c r="E28" i="88"/>
  <c r="C28" i="92"/>
  <c r="B27" i="92" s="1"/>
  <c r="E18" i="93"/>
  <c r="L16" i="94"/>
  <c r="J16" i="94" s="1"/>
  <c r="F16" i="94" s="1"/>
  <c r="C16" i="94" s="1"/>
  <c r="I17" i="94"/>
  <c r="E17" i="94" s="1"/>
  <c r="E28" i="96"/>
  <c r="E12" i="103"/>
  <c r="L26" i="104"/>
  <c r="J26" i="104" s="1"/>
  <c r="F26" i="104" s="1"/>
  <c r="I27" i="104"/>
  <c r="E27" i="104" s="1"/>
  <c r="I26" i="104"/>
  <c r="E26" i="104" s="1"/>
  <c r="C26" i="104" s="1"/>
  <c r="L10" i="106"/>
  <c r="J10" i="106" s="1"/>
  <c r="F10" i="106" s="1"/>
  <c r="L22" i="108"/>
  <c r="J22" i="108" s="1"/>
  <c r="F22" i="108" s="1"/>
  <c r="I23" i="108"/>
  <c r="E23" i="108" s="1"/>
  <c r="J25" i="108"/>
  <c r="F25" i="108" s="1"/>
  <c r="L14" i="83"/>
  <c r="J14" i="83" s="1"/>
  <c r="F14" i="83" s="1"/>
  <c r="C14" i="83" s="1"/>
  <c r="I15" i="83"/>
  <c r="E15" i="83" s="1"/>
  <c r="I23" i="85"/>
  <c r="E23" i="85" s="1"/>
  <c r="I11" i="88"/>
  <c r="E11" i="88" s="1"/>
  <c r="C11" i="88" s="1"/>
  <c r="L20" i="88"/>
  <c r="J21" i="88" s="1"/>
  <c r="F21" i="88" s="1"/>
  <c r="I21" i="88"/>
  <c r="I23" i="88"/>
  <c r="E23" i="88" s="1"/>
  <c r="F28" i="88"/>
  <c r="L12" i="90"/>
  <c r="J12" i="90" s="1"/>
  <c r="F12" i="90" s="1"/>
  <c r="I12" i="90"/>
  <c r="E12" i="90" s="1"/>
  <c r="C12" i="90" s="1"/>
  <c r="J24" i="91"/>
  <c r="F24" i="91" s="1"/>
  <c r="I17" i="92"/>
  <c r="E17" i="92" s="1"/>
  <c r="J28" i="92"/>
  <c r="F28" i="92" s="1"/>
  <c r="F18" i="93"/>
  <c r="C25" i="93"/>
  <c r="F29" i="93"/>
  <c r="I22" i="94"/>
  <c r="E22" i="94" s="1"/>
  <c r="I13" i="96"/>
  <c r="E13" i="96" s="1"/>
  <c r="F28" i="96"/>
  <c r="I29" i="98"/>
  <c r="E29" i="98" s="1"/>
  <c r="I23" i="100"/>
  <c r="E23" i="100" s="1"/>
  <c r="I13" i="101"/>
  <c r="L15" i="103"/>
  <c r="J16" i="103" s="1"/>
  <c r="F16" i="103" s="1"/>
  <c r="I16" i="103"/>
  <c r="E16" i="103" s="1"/>
  <c r="C16" i="103" s="1"/>
  <c r="L17" i="105"/>
  <c r="I17" i="105"/>
  <c r="E17" i="105" s="1"/>
  <c r="I18" i="105"/>
  <c r="E18" i="105" s="1"/>
  <c r="F23" i="105"/>
  <c r="C23" i="105" s="1"/>
  <c r="L26" i="105"/>
  <c r="J26" i="105" s="1"/>
  <c r="F26" i="105" s="1"/>
  <c r="C26" i="105" s="1"/>
  <c r="I27" i="105"/>
  <c r="E27" i="105" s="1"/>
  <c r="L25" i="107"/>
  <c r="J25" i="107" s="1"/>
  <c r="F25" i="107" s="1"/>
  <c r="C25" i="107" s="1"/>
  <c r="I25" i="107"/>
  <c r="E25" i="107" s="1"/>
  <c r="I26" i="107"/>
  <c r="E26" i="107" s="1"/>
  <c r="E10" i="108"/>
  <c r="J28" i="108"/>
  <c r="F28" i="108" s="1"/>
  <c r="I14" i="111"/>
  <c r="E14" i="111" s="1"/>
  <c r="L17" i="111"/>
  <c r="J17" i="111" s="1"/>
  <c r="F17" i="111" s="1"/>
  <c r="I18" i="111"/>
  <c r="E18" i="111" s="1"/>
  <c r="F25" i="100"/>
  <c r="C25" i="100" s="1"/>
  <c r="L26" i="103"/>
  <c r="J26" i="103" s="1"/>
  <c r="F26" i="103" s="1"/>
  <c r="I27" i="103"/>
  <c r="F28" i="105"/>
  <c r="F18" i="108"/>
  <c r="I30" i="50"/>
  <c r="E30" i="50" s="1"/>
  <c r="I18" i="83"/>
  <c r="E18" i="83" s="1"/>
  <c r="J15" i="86"/>
  <c r="F15" i="86" s="1"/>
  <c r="L17" i="91"/>
  <c r="I18" i="91"/>
  <c r="E18" i="91" s="1"/>
  <c r="L12" i="97"/>
  <c r="I13" i="97"/>
  <c r="E13" i="97" s="1"/>
  <c r="L11" i="98"/>
  <c r="I11" i="98"/>
  <c r="E11" i="98" s="1"/>
  <c r="C26" i="100"/>
  <c r="I29" i="103"/>
  <c r="E29" i="103" s="1"/>
  <c r="J24" i="50"/>
  <c r="F24" i="50" s="1"/>
  <c r="I24" i="83"/>
  <c r="E24" i="83" s="1"/>
  <c r="C24" i="83" s="1"/>
  <c r="I11" i="85"/>
  <c r="E11" i="85" s="1"/>
  <c r="J11" i="88"/>
  <c r="F11" i="88" s="1"/>
  <c r="E24" i="88"/>
  <c r="I26" i="88"/>
  <c r="E26" i="88" s="1"/>
  <c r="I23" i="92"/>
  <c r="E23" i="92" s="1"/>
  <c r="C23" i="92" s="1"/>
  <c r="L27" i="97"/>
  <c r="J27" i="97" s="1"/>
  <c r="F27" i="97" s="1"/>
  <c r="I27" i="97"/>
  <c r="L21" i="103"/>
  <c r="J21" i="103" s="1"/>
  <c r="F21" i="103" s="1"/>
  <c r="C21" i="103" s="1"/>
  <c r="I22" i="103"/>
  <c r="E22" i="103" s="1"/>
  <c r="I16" i="107"/>
  <c r="E16" i="107" s="1"/>
  <c r="C16" i="107" s="1"/>
  <c r="I16" i="108"/>
  <c r="E16" i="108" s="1"/>
  <c r="I19" i="108"/>
  <c r="E19" i="108" s="1"/>
  <c r="C11" i="109"/>
  <c r="E10" i="110"/>
  <c r="L11" i="111"/>
  <c r="J11" i="111" s="1"/>
  <c r="F11" i="111" s="1"/>
  <c r="I12" i="111"/>
  <c r="E12" i="111" s="1"/>
  <c r="F28" i="98"/>
  <c r="C28" i="98" s="1"/>
  <c r="B27" i="98" s="1"/>
  <c r="L22" i="99"/>
  <c r="J22" i="99" s="1"/>
  <c r="F22" i="99" s="1"/>
  <c r="C22" i="99" s="1"/>
  <c r="I23" i="99"/>
  <c r="E23" i="99" s="1"/>
  <c r="E12" i="101"/>
  <c r="L17" i="103"/>
  <c r="J18" i="103" s="1"/>
  <c r="F18" i="103" s="1"/>
  <c r="I17" i="103"/>
  <c r="E17" i="103" s="1"/>
  <c r="F21" i="106"/>
  <c r="C21" i="106" s="1"/>
  <c r="J18" i="109"/>
  <c r="F18" i="109" s="1"/>
  <c r="C17" i="111"/>
  <c r="L17" i="84"/>
  <c r="J17" i="84" s="1"/>
  <c r="F17" i="84" s="1"/>
  <c r="C17" i="84" s="1"/>
  <c r="I18" i="84"/>
  <c r="E18" i="84" s="1"/>
  <c r="J23" i="84"/>
  <c r="F23" i="84" s="1"/>
  <c r="E23" i="86"/>
  <c r="E19" i="87"/>
  <c r="E28" i="87"/>
  <c r="C28" i="87" s="1"/>
  <c r="B27" i="87" s="1"/>
  <c r="J18" i="89"/>
  <c r="F18" i="89" s="1"/>
  <c r="J21" i="89"/>
  <c r="F21" i="89" s="1"/>
  <c r="L20" i="91"/>
  <c r="I21" i="91"/>
  <c r="E21" i="91" s="1"/>
  <c r="J13" i="95"/>
  <c r="F13" i="95" s="1"/>
  <c r="L16" i="95"/>
  <c r="J17" i="95" s="1"/>
  <c r="F17" i="95" s="1"/>
  <c r="C17" i="95" s="1"/>
  <c r="I17" i="95"/>
  <c r="E17" i="95" s="1"/>
  <c r="L15" i="97"/>
  <c r="I16" i="97"/>
  <c r="E16" i="97" s="1"/>
  <c r="L25" i="99"/>
  <c r="J25" i="99" s="1"/>
  <c r="F25" i="99" s="1"/>
  <c r="C25" i="99" s="1"/>
  <c r="I26" i="99"/>
  <c r="E26" i="99" s="1"/>
  <c r="C26" i="99" s="1"/>
  <c r="L22" i="100"/>
  <c r="J23" i="100" s="1"/>
  <c r="F23" i="100" s="1"/>
  <c r="I22" i="100"/>
  <c r="E22" i="100" s="1"/>
  <c r="J18" i="101"/>
  <c r="F18" i="101" s="1"/>
  <c r="C18" i="101" s="1"/>
  <c r="J13" i="104"/>
  <c r="J16" i="104"/>
  <c r="F16" i="104" s="1"/>
  <c r="L16" i="105"/>
  <c r="J16" i="105" s="1"/>
  <c r="F16" i="105" s="1"/>
  <c r="I16" i="105"/>
  <c r="E16" i="105" s="1"/>
  <c r="E28" i="105"/>
  <c r="C28" i="105" s="1"/>
  <c r="B27" i="105" s="1"/>
  <c r="C18" i="108"/>
  <c r="L12" i="109"/>
  <c r="J13" i="109" s="1"/>
  <c r="F13" i="109" s="1"/>
  <c r="I13" i="109"/>
  <c r="E13" i="109" s="1"/>
  <c r="C13" i="109" s="1"/>
  <c r="J20" i="83"/>
  <c r="F20" i="83" s="1"/>
  <c r="I26" i="83"/>
  <c r="E26" i="83" s="1"/>
  <c r="L11" i="84"/>
  <c r="J11" i="84" s="1"/>
  <c r="F11" i="84" s="1"/>
  <c r="C11" i="84" s="1"/>
  <c r="I12" i="84"/>
  <c r="E12" i="84" s="1"/>
  <c r="L12" i="89"/>
  <c r="I13" i="89"/>
  <c r="E13" i="89" s="1"/>
  <c r="E17" i="91"/>
  <c r="J11" i="85"/>
  <c r="F11" i="85" s="1"/>
  <c r="L17" i="88"/>
  <c r="I18" i="88"/>
  <c r="E18" i="88" s="1"/>
  <c r="J23" i="92"/>
  <c r="F23" i="92" s="1"/>
  <c r="E21" i="95"/>
  <c r="L22" i="97"/>
  <c r="I22" i="97"/>
  <c r="L15" i="98"/>
  <c r="J16" i="98" s="1"/>
  <c r="F16" i="98" s="1"/>
  <c r="I16" i="98"/>
  <c r="E16" i="98" s="1"/>
  <c r="L17" i="100"/>
  <c r="J17" i="100" s="1"/>
  <c r="F17" i="100" s="1"/>
  <c r="C17" i="100" s="1"/>
  <c r="I18" i="100"/>
  <c r="E18" i="100" s="1"/>
  <c r="I26" i="100"/>
  <c r="E26" i="100" s="1"/>
  <c r="L25" i="102"/>
  <c r="J25" i="102" s="1"/>
  <c r="F25" i="102" s="1"/>
  <c r="I25" i="102"/>
  <c r="E25" i="102" s="1"/>
  <c r="L12" i="103"/>
  <c r="I13" i="103"/>
  <c r="I13" i="108"/>
  <c r="E13" i="108" s="1"/>
  <c r="L16" i="101"/>
  <c r="J16" i="101" s="1"/>
  <c r="F16" i="101" s="1"/>
  <c r="I16" i="101"/>
  <c r="E16" i="101" s="1"/>
  <c r="C16" i="101" s="1"/>
  <c r="E12" i="105"/>
  <c r="C12" i="105" s="1"/>
  <c r="C22" i="83"/>
  <c r="J24" i="83"/>
  <c r="F24" i="83" s="1"/>
  <c r="I27" i="83"/>
  <c r="E27" i="83" s="1"/>
  <c r="J26" i="84"/>
  <c r="F26" i="84" s="1"/>
  <c r="E14" i="87"/>
  <c r="F28" i="87"/>
  <c r="I14" i="90"/>
  <c r="E14" i="90" s="1"/>
  <c r="E23" i="90"/>
  <c r="C23" i="90" s="1"/>
  <c r="F28" i="90"/>
  <c r="L27" i="92"/>
  <c r="I27" i="92"/>
  <c r="E27" i="92" s="1"/>
  <c r="J11" i="93"/>
  <c r="F11" i="93" s="1"/>
  <c r="E27" i="98"/>
  <c r="J11" i="99"/>
  <c r="F11" i="99" s="1"/>
  <c r="C11" i="99" s="1"/>
  <c r="F12" i="105"/>
  <c r="I29" i="105"/>
  <c r="E29" i="105" s="1"/>
  <c r="L25" i="106"/>
  <c r="J25" i="106" s="1"/>
  <c r="F25" i="106" s="1"/>
  <c r="I25" i="106"/>
  <c r="E25" i="106" s="1"/>
  <c r="J26" i="107"/>
  <c r="F26" i="107" s="1"/>
  <c r="C26" i="107" s="1"/>
  <c r="J16" i="110"/>
  <c r="F16" i="110" s="1"/>
  <c r="C16" i="110" s="1"/>
  <c r="E11" i="87"/>
  <c r="L27" i="89"/>
  <c r="J27" i="89" s="1"/>
  <c r="F27" i="89" s="1"/>
  <c r="I27" i="89"/>
  <c r="E27" i="89" s="1"/>
  <c r="C27" i="89" s="1"/>
  <c r="F23" i="90"/>
  <c r="J25" i="93"/>
  <c r="F25" i="93" s="1"/>
  <c r="J11" i="94"/>
  <c r="F11" i="94" s="1"/>
  <c r="C11" i="94" s="1"/>
  <c r="E26" i="95"/>
  <c r="E28" i="95"/>
  <c r="C28" i="95" s="1"/>
  <c r="B27" i="95" s="1"/>
  <c r="F12" i="96"/>
  <c r="C12" i="96" s="1"/>
  <c r="I29" i="96"/>
  <c r="E29" i="96" s="1"/>
  <c r="C29" i="96" s="1"/>
  <c r="B29" i="96" s="1"/>
  <c r="E22" i="98"/>
  <c r="I14" i="99"/>
  <c r="E14" i="99" s="1"/>
  <c r="F22" i="101"/>
  <c r="J12" i="102"/>
  <c r="F12" i="102" s="1"/>
  <c r="C12" i="102" s="1"/>
  <c r="E28" i="104"/>
  <c r="L21" i="105"/>
  <c r="J21" i="105" s="1"/>
  <c r="F21" i="105" s="1"/>
  <c r="C21" i="105" s="1"/>
  <c r="I22" i="105"/>
  <c r="E22" i="105" s="1"/>
  <c r="J22" i="110"/>
  <c r="F22" i="110" s="1"/>
  <c r="J21" i="84"/>
  <c r="F21" i="84" s="1"/>
  <c r="C21" i="84" s="1"/>
  <c r="I24" i="84"/>
  <c r="E24" i="84" s="1"/>
  <c r="L24" i="84"/>
  <c r="I25" i="85"/>
  <c r="E25" i="85" s="1"/>
  <c r="I22" i="86"/>
  <c r="F11" i="87"/>
  <c r="I24" i="87"/>
  <c r="E24" i="87" s="1"/>
  <c r="J26" i="87"/>
  <c r="F26" i="87" s="1"/>
  <c r="I13" i="88"/>
  <c r="I16" i="88"/>
  <c r="E16" i="88" s="1"/>
  <c r="J21" i="91"/>
  <c r="F21" i="91" s="1"/>
  <c r="L22" i="92"/>
  <c r="J22" i="92" s="1"/>
  <c r="F22" i="92" s="1"/>
  <c r="I22" i="92"/>
  <c r="E22" i="92" s="1"/>
  <c r="I25" i="92"/>
  <c r="E25" i="92" s="1"/>
  <c r="J17" i="99"/>
  <c r="F17" i="99" s="1"/>
  <c r="J28" i="99"/>
  <c r="F28" i="99" s="1"/>
  <c r="I29" i="100"/>
  <c r="E29" i="100" s="1"/>
  <c r="J11" i="101"/>
  <c r="F11" i="101" s="1"/>
  <c r="I18" i="102"/>
  <c r="E18" i="102" s="1"/>
  <c r="J21" i="102"/>
  <c r="F21" i="102" s="1"/>
  <c r="I27" i="102"/>
  <c r="E27" i="102" s="1"/>
  <c r="C27" i="102" s="1"/>
  <c r="B26" i="102" s="1"/>
  <c r="L17" i="104"/>
  <c r="J17" i="104" s="1"/>
  <c r="F17" i="104" s="1"/>
  <c r="I17" i="104"/>
  <c r="E17" i="104" s="1"/>
  <c r="I23" i="104"/>
  <c r="E23" i="104" s="1"/>
  <c r="F28" i="104"/>
  <c r="I28" i="106"/>
  <c r="E28" i="106" s="1"/>
  <c r="I18" i="107"/>
  <c r="E18" i="107" s="1"/>
  <c r="C18" i="107" s="1"/>
  <c r="F27" i="109"/>
  <c r="F11" i="110"/>
  <c r="C11" i="110" s="1"/>
  <c r="F23" i="107"/>
  <c r="C23" i="107" s="1"/>
  <c r="I10" i="83"/>
  <c r="E10" i="83" s="1"/>
  <c r="I22" i="83"/>
  <c r="E22" i="83" s="1"/>
  <c r="I19" i="85"/>
  <c r="E19" i="85" s="1"/>
  <c r="J25" i="85"/>
  <c r="F25" i="85" s="1"/>
  <c r="C25" i="85" s="1"/>
  <c r="I10" i="86"/>
  <c r="E10" i="86" s="1"/>
  <c r="F22" i="86"/>
  <c r="J13" i="88"/>
  <c r="F13" i="88" s="1"/>
  <c r="L25" i="89"/>
  <c r="J25" i="89" s="1"/>
  <c r="F25" i="89" s="1"/>
  <c r="I25" i="89"/>
  <c r="E25" i="89" s="1"/>
  <c r="C25" i="89" s="1"/>
  <c r="I10" i="90"/>
  <c r="E10" i="90" s="1"/>
  <c r="L26" i="90"/>
  <c r="J26" i="90" s="1"/>
  <c r="F26" i="90" s="1"/>
  <c r="I27" i="90"/>
  <c r="E27" i="90" s="1"/>
  <c r="J25" i="92"/>
  <c r="F25" i="92" s="1"/>
  <c r="I10" i="93"/>
  <c r="E10" i="93" s="1"/>
  <c r="I23" i="93"/>
  <c r="E23" i="93" s="1"/>
  <c r="I10" i="95"/>
  <c r="E10" i="95" s="1"/>
  <c r="I24" i="95"/>
  <c r="E24" i="95" s="1"/>
  <c r="I26" i="95"/>
  <c r="F28" i="95"/>
  <c r="I25" i="98"/>
  <c r="E25" i="98" s="1"/>
  <c r="L16" i="100"/>
  <c r="J16" i="100" s="1"/>
  <c r="F16" i="100" s="1"/>
  <c r="C16" i="100" s="1"/>
  <c r="I16" i="100"/>
  <c r="E16" i="100" s="1"/>
  <c r="J18" i="102"/>
  <c r="F18" i="102" s="1"/>
  <c r="C18" i="102" s="1"/>
  <c r="F23" i="104"/>
  <c r="I17" i="106"/>
  <c r="E17" i="106" s="1"/>
  <c r="C17" i="106" s="1"/>
  <c r="F28" i="106"/>
  <c r="J18" i="107"/>
  <c r="F18" i="107" s="1"/>
  <c r="I21" i="107"/>
  <c r="E21" i="107" s="1"/>
  <c r="I24" i="107"/>
  <c r="E24" i="107" s="1"/>
  <c r="I25" i="109"/>
  <c r="E25" i="109" s="1"/>
  <c r="C25" i="109" s="1"/>
  <c r="J25" i="110"/>
  <c r="F25" i="110" s="1"/>
  <c r="C25" i="110" s="1"/>
  <c r="L11" i="92"/>
  <c r="J11" i="92" s="1"/>
  <c r="F11" i="92" s="1"/>
  <c r="C11" i="92" s="1"/>
  <c r="I11" i="92"/>
  <c r="E11" i="92" s="1"/>
  <c r="L15" i="93"/>
  <c r="I16" i="93"/>
  <c r="E16" i="93" s="1"/>
  <c r="I24" i="94"/>
  <c r="E24" i="94" s="1"/>
  <c r="I23" i="94"/>
  <c r="E23" i="94" s="1"/>
  <c r="J25" i="98"/>
  <c r="F25" i="98" s="1"/>
  <c r="C25" i="98" s="1"/>
  <c r="E10" i="99"/>
  <c r="L13" i="100"/>
  <c r="I13" i="100"/>
  <c r="E13" i="100" s="1"/>
  <c r="I28" i="101"/>
  <c r="E28" i="101" s="1"/>
  <c r="I25" i="103"/>
  <c r="E25" i="103" s="1"/>
  <c r="J10" i="105"/>
  <c r="F10" i="105" s="1"/>
  <c r="I19" i="105"/>
  <c r="E19" i="105" s="1"/>
  <c r="J17" i="106"/>
  <c r="F17" i="106" s="1"/>
  <c r="J21" i="107"/>
  <c r="F21" i="107" s="1"/>
  <c r="C21" i="107" s="1"/>
  <c r="I19" i="106"/>
  <c r="E19" i="106" s="1"/>
  <c r="I29" i="108"/>
  <c r="E29" i="108" s="1"/>
  <c r="I23" i="50"/>
  <c r="E23" i="50" s="1"/>
  <c r="I13" i="84"/>
  <c r="I16" i="84"/>
  <c r="E16" i="84" s="1"/>
  <c r="J16" i="85"/>
  <c r="F16" i="85" s="1"/>
  <c r="C16" i="85" s="1"/>
  <c r="I22" i="85"/>
  <c r="E22" i="85" s="1"/>
  <c r="I13" i="87"/>
  <c r="E13" i="87" s="1"/>
  <c r="J18" i="87"/>
  <c r="F18" i="87" s="1"/>
  <c r="I25" i="88"/>
  <c r="E25" i="88" s="1"/>
  <c r="C25" i="88" s="1"/>
  <c r="I11" i="89"/>
  <c r="E11" i="89" s="1"/>
  <c r="I22" i="89"/>
  <c r="I19" i="90"/>
  <c r="E19" i="90" s="1"/>
  <c r="I22" i="90"/>
  <c r="E22" i="90" s="1"/>
  <c r="I11" i="91"/>
  <c r="E11" i="91" s="1"/>
  <c r="J16" i="91"/>
  <c r="F16" i="91" s="1"/>
  <c r="C16" i="91" s="1"/>
  <c r="I29" i="92"/>
  <c r="E29" i="92" s="1"/>
  <c r="I13" i="93"/>
  <c r="E13" i="93" s="1"/>
  <c r="I26" i="93"/>
  <c r="E26" i="93" s="1"/>
  <c r="I11" i="95"/>
  <c r="E11" i="95" s="1"/>
  <c r="I22" i="95"/>
  <c r="E22" i="95" s="1"/>
  <c r="I27" i="95"/>
  <c r="E27" i="95" s="1"/>
  <c r="C27" i="95" s="1"/>
  <c r="I19" i="96"/>
  <c r="E19" i="96" s="1"/>
  <c r="I22" i="96"/>
  <c r="E22" i="96" s="1"/>
  <c r="I27" i="96"/>
  <c r="E27" i="96" s="1"/>
  <c r="I18" i="98"/>
  <c r="E18" i="98" s="1"/>
  <c r="I26" i="98"/>
  <c r="E26" i="98" s="1"/>
  <c r="I18" i="99"/>
  <c r="E18" i="99" s="1"/>
  <c r="I21" i="99"/>
  <c r="E21" i="99" s="1"/>
  <c r="J26" i="99"/>
  <c r="F26" i="99" s="1"/>
  <c r="I21" i="100"/>
  <c r="E21" i="100" s="1"/>
  <c r="J26" i="100"/>
  <c r="F26" i="100" s="1"/>
  <c r="I22" i="102"/>
  <c r="E22" i="102" s="1"/>
  <c r="J11" i="106"/>
  <c r="F11" i="106" s="1"/>
  <c r="C11" i="106" s="1"/>
  <c r="I22" i="106"/>
  <c r="E22" i="106" s="1"/>
  <c r="I27" i="106"/>
  <c r="E27" i="106" s="1"/>
  <c r="I11" i="107"/>
  <c r="E11" i="107" s="1"/>
  <c r="I22" i="107"/>
  <c r="E22" i="107" s="1"/>
  <c r="I27" i="107"/>
  <c r="E27" i="107" s="1"/>
  <c r="I11" i="108"/>
  <c r="E11" i="108" s="1"/>
  <c r="C11" i="108" s="1"/>
  <c r="I14" i="108"/>
  <c r="E14" i="108" s="1"/>
  <c r="J21" i="109"/>
  <c r="F21" i="109" s="1"/>
  <c r="I28" i="110"/>
  <c r="E28" i="110" s="1"/>
  <c r="J17" i="110"/>
  <c r="F17" i="110" s="1"/>
  <c r="J13" i="84"/>
  <c r="F13" i="84" s="1"/>
  <c r="J16" i="84"/>
  <c r="F16" i="84" s="1"/>
  <c r="C16" i="84" s="1"/>
  <c r="J11" i="86"/>
  <c r="F11" i="86" s="1"/>
  <c r="C11" i="86" s="1"/>
  <c r="J13" i="87"/>
  <c r="F13" i="87" s="1"/>
  <c r="I10" i="88"/>
  <c r="E10" i="88" s="1"/>
  <c r="J25" i="88"/>
  <c r="F25" i="88" s="1"/>
  <c r="J11" i="89"/>
  <c r="F11" i="89" s="1"/>
  <c r="I11" i="90"/>
  <c r="E11" i="90" s="1"/>
  <c r="I22" i="91"/>
  <c r="E22" i="91" s="1"/>
  <c r="I27" i="91"/>
  <c r="I19" i="92"/>
  <c r="E19" i="92" s="1"/>
  <c r="J13" i="93"/>
  <c r="F13" i="93" s="1"/>
  <c r="I21" i="93"/>
  <c r="E21" i="93" s="1"/>
  <c r="J11" i="95"/>
  <c r="F11" i="95" s="1"/>
  <c r="I11" i="96"/>
  <c r="E11" i="96" s="1"/>
  <c r="I11" i="97"/>
  <c r="E11" i="97" s="1"/>
  <c r="C11" i="97" s="1"/>
  <c r="I21" i="98"/>
  <c r="E21" i="98" s="1"/>
  <c r="J26" i="98"/>
  <c r="F26" i="98" s="1"/>
  <c r="C26" i="98" s="1"/>
  <c r="J21" i="100"/>
  <c r="F21" i="100" s="1"/>
  <c r="C21" i="100" s="1"/>
  <c r="I24" i="100"/>
  <c r="E24" i="100" s="1"/>
  <c r="C24" i="100" s="1"/>
  <c r="I14" i="103"/>
  <c r="E14" i="103" s="1"/>
  <c r="J27" i="103"/>
  <c r="F27" i="103" s="1"/>
  <c r="I25" i="104"/>
  <c r="E25" i="104" s="1"/>
  <c r="I14" i="105"/>
  <c r="E14" i="105" s="1"/>
  <c r="I25" i="105"/>
  <c r="E25" i="105" s="1"/>
  <c r="I14" i="106"/>
  <c r="E14" i="106" s="1"/>
  <c r="J11" i="107"/>
  <c r="F11" i="107" s="1"/>
  <c r="J11" i="108"/>
  <c r="F11" i="108" s="1"/>
  <c r="I11" i="109"/>
  <c r="E11" i="109" s="1"/>
  <c r="J11" i="90"/>
  <c r="F11" i="90" s="1"/>
  <c r="C11" i="90" s="1"/>
  <c r="J21" i="93"/>
  <c r="F21" i="93" s="1"/>
  <c r="J28" i="93"/>
  <c r="F28" i="93" s="1"/>
  <c r="C28" i="93" s="1"/>
  <c r="B27" i="93" s="1"/>
  <c r="B26" i="93" s="1"/>
  <c r="J11" i="96"/>
  <c r="F11" i="96" s="1"/>
  <c r="C11" i="96" s="1"/>
  <c r="J11" i="97"/>
  <c r="F11" i="97" s="1"/>
  <c r="J21" i="98"/>
  <c r="F21" i="98" s="1"/>
  <c r="J13" i="101"/>
  <c r="F13" i="101" s="1"/>
  <c r="I10" i="103"/>
  <c r="E10" i="103" s="1"/>
  <c r="J25" i="105"/>
  <c r="F25" i="105" s="1"/>
  <c r="J11" i="109"/>
  <c r="F11" i="109" s="1"/>
  <c r="J23" i="111"/>
  <c r="F23" i="111" s="1"/>
  <c r="C23" i="111" s="1"/>
  <c r="J12" i="111"/>
  <c r="F12" i="111" s="1"/>
  <c r="C12" i="111" s="1"/>
  <c r="J18" i="111"/>
  <c r="F18" i="111" s="1"/>
  <c r="J21" i="111"/>
  <c r="F21" i="111" s="1"/>
  <c r="C21" i="111" s="1"/>
  <c r="J24" i="111"/>
  <c r="F24" i="111" s="1"/>
  <c r="J16" i="111"/>
  <c r="F16" i="111" s="1"/>
  <c r="C27" i="111"/>
  <c r="I16" i="111"/>
  <c r="E16" i="111" s="1"/>
  <c r="C16" i="111" s="1"/>
  <c r="I11" i="111"/>
  <c r="E11" i="111" s="1"/>
  <c r="C11" i="111" s="1"/>
  <c r="I25" i="111"/>
  <c r="E25" i="111" s="1"/>
  <c r="I10" i="111"/>
  <c r="E10" i="111" s="1"/>
  <c r="C10" i="111" s="1"/>
  <c r="I24" i="111"/>
  <c r="E24" i="111" s="1"/>
  <c r="L19" i="111"/>
  <c r="J19" i="111" s="1"/>
  <c r="F19" i="111" s="1"/>
  <c r="C19" i="111" s="1"/>
  <c r="L29" i="111"/>
  <c r="J29" i="111" s="1"/>
  <c r="F29" i="111" s="1"/>
  <c r="L14" i="111"/>
  <c r="J14" i="111" s="1"/>
  <c r="F14" i="111" s="1"/>
  <c r="I20" i="111"/>
  <c r="E20" i="111" s="1"/>
  <c r="I15" i="111"/>
  <c r="E15" i="111" s="1"/>
  <c r="I29" i="111"/>
  <c r="E29" i="111" s="1"/>
  <c r="C26" i="110"/>
  <c r="J12" i="110"/>
  <c r="F12" i="110" s="1"/>
  <c r="C12" i="110" s="1"/>
  <c r="J21" i="110"/>
  <c r="F21" i="110" s="1"/>
  <c r="C21" i="110" s="1"/>
  <c r="I24" i="110"/>
  <c r="E24" i="110" s="1"/>
  <c r="L23" i="110"/>
  <c r="J23" i="110" s="1"/>
  <c r="F23" i="110" s="1"/>
  <c r="L28" i="110"/>
  <c r="J28" i="110" s="1"/>
  <c r="F28" i="110" s="1"/>
  <c r="E27" i="110"/>
  <c r="I14" i="110"/>
  <c r="E14" i="110" s="1"/>
  <c r="I15" i="110"/>
  <c r="E15" i="110" s="1"/>
  <c r="J27" i="110"/>
  <c r="F27" i="110" s="1"/>
  <c r="L14" i="110"/>
  <c r="L9" i="110"/>
  <c r="J10" i="110" s="1"/>
  <c r="F10" i="110" s="1"/>
  <c r="C10" i="110" s="1"/>
  <c r="J18" i="110"/>
  <c r="F18" i="110" s="1"/>
  <c r="C18" i="110" s="1"/>
  <c r="I23" i="110"/>
  <c r="E23" i="110" s="1"/>
  <c r="I29" i="110"/>
  <c r="E29" i="110" s="1"/>
  <c r="I30" i="110"/>
  <c r="E30" i="110" s="1"/>
  <c r="L29" i="110"/>
  <c r="C17" i="110"/>
  <c r="I19" i="110"/>
  <c r="E19" i="110" s="1"/>
  <c r="I20" i="110"/>
  <c r="E20" i="110" s="1"/>
  <c r="L19" i="110"/>
  <c r="J19" i="110" s="1"/>
  <c r="F19" i="110" s="1"/>
  <c r="E27" i="109"/>
  <c r="L9" i="109"/>
  <c r="J10" i="109" s="1"/>
  <c r="F10" i="109" s="1"/>
  <c r="C10" i="109" s="1"/>
  <c r="I19" i="109"/>
  <c r="E19" i="109" s="1"/>
  <c r="I20" i="109"/>
  <c r="E20" i="109" s="1"/>
  <c r="L19" i="109"/>
  <c r="J19" i="109" s="1"/>
  <c r="F19" i="109" s="1"/>
  <c r="L23" i="109"/>
  <c r="J23" i="109" s="1"/>
  <c r="F23" i="109" s="1"/>
  <c r="C23" i="109" s="1"/>
  <c r="I29" i="109"/>
  <c r="E29" i="109" s="1"/>
  <c r="C29" i="109" s="1"/>
  <c r="B29" i="109" s="1"/>
  <c r="I30" i="109"/>
  <c r="E30" i="109" s="1"/>
  <c r="L29" i="109"/>
  <c r="J29" i="109" s="1"/>
  <c r="F29" i="109" s="1"/>
  <c r="E22" i="109"/>
  <c r="I14" i="109"/>
  <c r="E14" i="109" s="1"/>
  <c r="I15" i="109"/>
  <c r="E15" i="109" s="1"/>
  <c r="J22" i="109"/>
  <c r="F22" i="109" s="1"/>
  <c r="C28" i="109"/>
  <c r="B27" i="109" s="1"/>
  <c r="L14" i="109"/>
  <c r="J14" i="109" s="1"/>
  <c r="F14" i="109" s="1"/>
  <c r="J26" i="109"/>
  <c r="F26" i="109" s="1"/>
  <c r="C26" i="109" s="1"/>
  <c r="J12" i="109"/>
  <c r="F12" i="109" s="1"/>
  <c r="C12" i="109" s="1"/>
  <c r="J16" i="109"/>
  <c r="F16" i="109" s="1"/>
  <c r="C16" i="109" s="1"/>
  <c r="J30" i="109"/>
  <c r="F30" i="109" s="1"/>
  <c r="J13" i="108"/>
  <c r="F13" i="108" s="1"/>
  <c r="J26" i="108"/>
  <c r="F26" i="108" s="1"/>
  <c r="J17" i="108"/>
  <c r="F17" i="108" s="1"/>
  <c r="C13" i="108"/>
  <c r="J16" i="108"/>
  <c r="F16" i="108" s="1"/>
  <c r="C16" i="108" s="1"/>
  <c r="J21" i="108"/>
  <c r="F21" i="108" s="1"/>
  <c r="J27" i="108"/>
  <c r="F27" i="108" s="1"/>
  <c r="L14" i="108"/>
  <c r="J14" i="108" s="1"/>
  <c r="F14" i="108" s="1"/>
  <c r="L9" i="108"/>
  <c r="J10" i="108" s="1"/>
  <c r="F10" i="108" s="1"/>
  <c r="C10" i="108" s="1"/>
  <c r="I22" i="108"/>
  <c r="E22" i="108" s="1"/>
  <c r="C22" i="108" s="1"/>
  <c r="L23" i="108"/>
  <c r="J23" i="108" s="1"/>
  <c r="F23" i="108" s="1"/>
  <c r="C23" i="108" s="1"/>
  <c r="I27" i="108"/>
  <c r="E27" i="108" s="1"/>
  <c r="C27" i="108" s="1"/>
  <c r="I17" i="108"/>
  <c r="E17" i="108" s="1"/>
  <c r="I12" i="108"/>
  <c r="E12" i="108" s="1"/>
  <c r="I26" i="108"/>
  <c r="E26" i="108" s="1"/>
  <c r="I21" i="108"/>
  <c r="E21" i="108" s="1"/>
  <c r="L19" i="108"/>
  <c r="J19" i="108" s="1"/>
  <c r="F19" i="108" s="1"/>
  <c r="C19" i="108" s="1"/>
  <c r="L29" i="108"/>
  <c r="J29" i="108" s="1"/>
  <c r="F29" i="108" s="1"/>
  <c r="C29" i="108" s="1"/>
  <c r="B29" i="108" s="1"/>
  <c r="I20" i="108"/>
  <c r="E20" i="108" s="1"/>
  <c r="I15" i="108"/>
  <c r="E15" i="108" s="1"/>
  <c r="I30" i="108"/>
  <c r="E30" i="108" s="1"/>
  <c r="J22" i="107"/>
  <c r="F22" i="107" s="1"/>
  <c r="C22" i="107" s="1"/>
  <c r="J24" i="107"/>
  <c r="F24" i="107" s="1"/>
  <c r="C24" i="107" s="1"/>
  <c r="J17" i="107"/>
  <c r="F17" i="107" s="1"/>
  <c r="C17" i="107" s="1"/>
  <c r="J27" i="107"/>
  <c r="F27" i="107" s="1"/>
  <c r="I19" i="107"/>
  <c r="E19" i="107" s="1"/>
  <c r="L19" i="107"/>
  <c r="J19" i="107" s="1"/>
  <c r="F19" i="107" s="1"/>
  <c r="I20" i="107"/>
  <c r="E20" i="107" s="1"/>
  <c r="I14" i="107"/>
  <c r="E14" i="107" s="1"/>
  <c r="L14" i="107"/>
  <c r="J14" i="107" s="1"/>
  <c r="F14" i="107" s="1"/>
  <c r="I29" i="107"/>
  <c r="E29" i="107" s="1"/>
  <c r="L29" i="107"/>
  <c r="J12" i="107"/>
  <c r="F12" i="107" s="1"/>
  <c r="C12" i="107" s="1"/>
  <c r="J10" i="107"/>
  <c r="F10" i="107" s="1"/>
  <c r="I15" i="107"/>
  <c r="E15" i="107" s="1"/>
  <c r="I30" i="107"/>
  <c r="E30" i="107" s="1"/>
  <c r="I10" i="107"/>
  <c r="E10" i="107" s="1"/>
  <c r="J13" i="106"/>
  <c r="F13" i="106" s="1"/>
  <c r="J24" i="106"/>
  <c r="F24" i="106" s="1"/>
  <c r="C24" i="106" s="1"/>
  <c r="C12" i="106"/>
  <c r="J22" i="106"/>
  <c r="F22" i="106" s="1"/>
  <c r="J27" i="106"/>
  <c r="F27" i="106" s="1"/>
  <c r="C27" i="106" s="1"/>
  <c r="J20" i="106"/>
  <c r="F20" i="106" s="1"/>
  <c r="J15" i="106"/>
  <c r="F15" i="106" s="1"/>
  <c r="J16" i="106"/>
  <c r="F16" i="106" s="1"/>
  <c r="C16" i="106" s="1"/>
  <c r="J18" i="106"/>
  <c r="F18" i="106" s="1"/>
  <c r="C18" i="106" s="1"/>
  <c r="I20" i="106"/>
  <c r="E20" i="106" s="1"/>
  <c r="I15" i="106"/>
  <c r="E15" i="106" s="1"/>
  <c r="I30" i="106"/>
  <c r="E30" i="106" s="1"/>
  <c r="I10" i="106"/>
  <c r="E10" i="106" s="1"/>
  <c r="L19" i="106"/>
  <c r="J19" i="106" s="1"/>
  <c r="F19" i="106" s="1"/>
  <c r="L29" i="106"/>
  <c r="J29" i="106" s="1"/>
  <c r="F29" i="106" s="1"/>
  <c r="C29" i="106" s="1"/>
  <c r="B29" i="106" s="1"/>
  <c r="L14" i="106"/>
  <c r="J14" i="106" s="1"/>
  <c r="F14" i="106" s="1"/>
  <c r="J22" i="105"/>
  <c r="F22" i="105" s="1"/>
  <c r="J27" i="105"/>
  <c r="F27" i="105" s="1"/>
  <c r="C27" i="105" s="1"/>
  <c r="B26" i="105" s="1"/>
  <c r="E13" i="105"/>
  <c r="J18" i="105"/>
  <c r="F18" i="105" s="1"/>
  <c r="C18" i="105" s="1"/>
  <c r="J24" i="105"/>
  <c r="F24" i="105" s="1"/>
  <c r="J11" i="105"/>
  <c r="F11" i="105" s="1"/>
  <c r="C11" i="105" s="1"/>
  <c r="I15" i="105"/>
  <c r="E15" i="105" s="1"/>
  <c r="I30" i="105"/>
  <c r="E30" i="105" s="1"/>
  <c r="I10" i="105"/>
  <c r="E10" i="105" s="1"/>
  <c r="I24" i="105"/>
  <c r="E24" i="105" s="1"/>
  <c r="L19" i="105"/>
  <c r="L14" i="105"/>
  <c r="J14" i="105" s="1"/>
  <c r="F14" i="105" s="1"/>
  <c r="C14" i="105" s="1"/>
  <c r="L29" i="105"/>
  <c r="J29" i="105" s="1"/>
  <c r="F29" i="105" s="1"/>
  <c r="C29" i="105" s="1"/>
  <c r="B29" i="105" s="1"/>
  <c r="I20" i="105"/>
  <c r="E20" i="105" s="1"/>
  <c r="J27" i="104"/>
  <c r="F27" i="104" s="1"/>
  <c r="C27" i="104" s="1"/>
  <c r="I14" i="104"/>
  <c r="E14" i="104" s="1"/>
  <c r="L14" i="104"/>
  <c r="J14" i="104" s="1"/>
  <c r="F14" i="104" s="1"/>
  <c r="F13" i="104"/>
  <c r="C13" i="104" s="1"/>
  <c r="C12" i="104"/>
  <c r="I19" i="104"/>
  <c r="E19" i="104" s="1"/>
  <c r="L19" i="104"/>
  <c r="J19" i="104" s="1"/>
  <c r="F19" i="104" s="1"/>
  <c r="I20" i="104"/>
  <c r="E20" i="104" s="1"/>
  <c r="C17" i="104"/>
  <c r="I29" i="104"/>
  <c r="E29" i="104" s="1"/>
  <c r="L29" i="104"/>
  <c r="J29" i="104" s="1"/>
  <c r="F29" i="104" s="1"/>
  <c r="I15" i="104"/>
  <c r="E15" i="104" s="1"/>
  <c r="I30" i="104"/>
  <c r="E30" i="104" s="1"/>
  <c r="J10" i="103"/>
  <c r="F10" i="103" s="1"/>
  <c r="C10" i="103" s="1"/>
  <c r="L14" i="103"/>
  <c r="J14" i="103" s="1"/>
  <c r="F14" i="103" s="1"/>
  <c r="C14" i="103" s="1"/>
  <c r="E27" i="103"/>
  <c r="C27" i="103" s="1"/>
  <c r="I19" i="103"/>
  <c r="E19" i="103" s="1"/>
  <c r="I20" i="103"/>
  <c r="E20" i="103" s="1"/>
  <c r="L23" i="103"/>
  <c r="J23" i="103" s="1"/>
  <c r="F23" i="103" s="1"/>
  <c r="C23" i="103" s="1"/>
  <c r="L29" i="103"/>
  <c r="L19" i="103"/>
  <c r="C26" i="103"/>
  <c r="C18" i="103"/>
  <c r="L28" i="103"/>
  <c r="J28" i="103" s="1"/>
  <c r="F28" i="103" s="1"/>
  <c r="C28" i="103" s="1"/>
  <c r="B27" i="103" s="1"/>
  <c r="B26" i="103" s="1"/>
  <c r="B25" i="103" s="1"/>
  <c r="J15" i="103"/>
  <c r="F15" i="103" s="1"/>
  <c r="E13" i="103"/>
  <c r="J17" i="103"/>
  <c r="F17" i="103" s="1"/>
  <c r="C17" i="103" s="1"/>
  <c r="J25" i="103"/>
  <c r="F25" i="103" s="1"/>
  <c r="I15" i="103"/>
  <c r="E15" i="103" s="1"/>
  <c r="I30" i="103"/>
  <c r="E30" i="103" s="1"/>
  <c r="J13" i="102"/>
  <c r="F13" i="102" s="1"/>
  <c r="J16" i="102"/>
  <c r="F16" i="102" s="1"/>
  <c r="C16" i="102" s="1"/>
  <c r="J24" i="102"/>
  <c r="F24" i="102" s="1"/>
  <c r="I14" i="102"/>
  <c r="E14" i="102" s="1"/>
  <c r="I15" i="102"/>
  <c r="E15" i="102" s="1"/>
  <c r="L14" i="102"/>
  <c r="J14" i="102" s="1"/>
  <c r="F14" i="102" s="1"/>
  <c r="J22" i="102"/>
  <c r="F22" i="102" s="1"/>
  <c r="C22" i="102" s="1"/>
  <c r="E13" i="102"/>
  <c r="C13" i="102" s="1"/>
  <c r="J26" i="102"/>
  <c r="F26" i="102" s="1"/>
  <c r="I29" i="102"/>
  <c r="E29" i="102" s="1"/>
  <c r="L29" i="102"/>
  <c r="J29" i="102" s="1"/>
  <c r="F29" i="102" s="1"/>
  <c r="I30" i="102"/>
  <c r="E30" i="102" s="1"/>
  <c r="J11" i="102"/>
  <c r="F11" i="102" s="1"/>
  <c r="C11" i="102" s="1"/>
  <c r="I19" i="102"/>
  <c r="E19" i="102" s="1"/>
  <c r="I20" i="102"/>
  <c r="E20" i="102" s="1"/>
  <c r="L19" i="102"/>
  <c r="J27" i="102"/>
  <c r="F27" i="102" s="1"/>
  <c r="I12" i="102"/>
  <c r="E12" i="102" s="1"/>
  <c r="I26" i="102"/>
  <c r="E26" i="102" s="1"/>
  <c r="I21" i="102"/>
  <c r="E21" i="102" s="1"/>
  <c r="C21" i="102" s="1"/>
  <c r="I10" i="102"/>
  <c r="E10" i="102" s="1"/>
  <c r="C10" i="102" s="1"/>
  <c r="I24" i="102"/>
  <c r="E24" i="102" s="1"/>
  <c r="L28" i="101"/>
  <c r="J28" i="101" s="1"/>
  <c r="F28" i="101" s="1"/>
  <c r="C28" i="101" s="1"/>
  <c r="B27" i="101" s="1"/>
  <c r="J20" i="101"/>
  <c r="F20" i="101" s="1"/>
  <c r="J21" i="101"/>
  <c r="F21" i="101" s="1"/>
  <c r="C21" i="101" s="1"/>
  <c r="E22" i="101"/>
  <c r="C22" i="101" s="1"/>
  <c r="L9" i="101"/>
  <c r="C23" i="101"/>
  <c r="I14" i="101"/>
  <c r="E14" i="101" s="1"/>
  <c r="I15" i="101"/>
  <c r="E15" i="101" s="1"/>
  <c r="I29" i="101"/>
  <c r="E29" i="101" s="1"/>
  <c r="I30" i="101"/>
  <c r="E30" i="101" s="1"/>
  <c r="L14" i="101"/>
  <c r="J14" i="101" s="1"/>
  <c r="F14" i="101" s="1"/>
  <c r="J25" i="101"/>
  <c r="F25" i="101" s="1"/>
  <c r="L29" i="101"/>
  <c r="J29" i="101" s="1"/>
  <c r="F29" i="101" s="1"/>
  <c r="J12" i="101"/>
  <c r="F12" i="101" s="1"/>
  <c r="C12" i="101" s="1"/>
  <c r="C26" i="101"/>
  <c r="J10" i="101"/>
  <c r="F10" i="101" s="1"/>
  <c r="C10" i="101" s="1"/>
  <c r="I19" i="101"/>
  <c r="E19" i="101" s="1"/>
  <c r="C19" i="101" s="1"/>
  <c r="I20" i="101"/>
  <c r="E20" i="101" s="1"/>
  <c r="C20" i="101" s="1"/>
  <c r="L19" i="101"/>
  <c r="J19" i="101" s="1"/>
  <c r="F19" i="101" s="1"/>
  <c r="L23" i="101"/>
  <c r="J23" i="101" s="1"/>
  <c r="F23" i="101" s="1"/>
  <c r="E13" i="101"/>
  <c r="C13" i="101" s="1"/>
  <c r="J17" i="101"/>
  <c r="F17" i="101" s="1"/>
  <c r="C17" i="101" s="1"/>
  <c r="I11" i="101"/>
  <c r="E11" i="101" s="1"/>
  <c r="C11" i="101" s="1"/>
  <c r="I25" i="101"/>
  <c r="E25" i="101" s="1"/>
  <c r="C25" i="101" s="1"/>
  <c r="J24" i="100"/>
  <c r="F24" i="100" s="1"/>
  <c r="J27" i="100"/>
  <c r="F27" i="100" s="1"/>
  <c r="J10" i="100"/>
  <c r="F10" i="100" s="1"/>
  <c r="J18" i="100"/>
  <c r="F18" i="100" s="1"/>
  <c r="C18" i="100" s="1"/>
  <c r="J13" i="100"/>
  <c r="F13" i="100" s="1"/>
  <c r="C13" i="100" s="1"/>
  <c r="I20" i="100"/>
  <c r="E20" i="100" s="1"/>
  <c r="I15" i="100"/>
  <c r="E15" i="100" s="1"/>
  <c r="I30" i="100"/>
  <c r="E30" i="100" s="1"/>
  <c r="I10" i="100"/>
  <c r="E10" i="100" s="1"/>
  <c r="C10" i="100" s="1"/>
  <c r="L19" i="100"/>
  <c r="J19" i="100" s="1"/>
  <c r="F19" i="100" s="1"/>
  <c r="C19" i="100" s="1"/>
  <c r="L29" i="100"/>
  <c r="J29" i="100" s="1"/>
  <c r="F29" i="100" s="1"/>
  <c r="C29" i="100" s="1"/>
  <c r="B29" i="100" s="1"/>
  <c r="L14" i="100"/>
  <c r="J14" i="100" s="1"/>
  <c r="F14" i="100" s="1"/>
  <c r="C14" i="100" s="1"/>
  <c r="J18" i="99"/>
  <c r="F18" i="99" s="1"/>
  <c r="J21" i="99"/>
  <c r="F21" i="99" s="1"/>
  <c r="J24" i="99"/>
  <c r="F24" i="99" s="1"/>
  <c r="J29" i="99"/>
  <c r="F29" i="99" s="1"/>
  <c r="C14" i="99"/>
  <c r="J30" i="99"/>
  <c r="F30" i="99" s="1"/>
  <c r="L19" i="99"/>
  <c r="J19" i="99" s="1"/>
  <c r="F19" i="99" s="1"/>
  <c r="L9" i="99"/>
  <c r="J10" i="99" s="1"/>
  <c r="F10" i="99" s="1"/>
  <c r="C10" i="99" s="1"/>
  <c r="I15" i="99"/>
  <c r="E15" i="99" s="1"/>
  <c r="I30" i="99"/>
  <c r="E30" i="99" s="1"/>
  <c r="I24" i="99"/>
  <c r="E24" i="99" s="1"/>
  <c r="I19" i="99"/>
  <c r="E19" i="99" s="1"/>
  <c r="I29" i="99"/>
  <c r="E29" i="99" s="1"/>
  <c r="L14" i="99"/>
  <c r="J14" i="99" s="1"/>
  <c r="F14" i="99" s="1"/>
  <c r="J18" i="98"/>
  <c r="F18" i="98" s="1"/>
  <c r="C18" i="98" s="1"/>
  <c r="J13" i="98"/>
  <c r="F13" i="98" s="1"/>
  <c r="C12" i="98"/>
  <c r="C17" i="98"/>
  <c r="J22" i="98"/>
  <c r="F22" i="98" s="1"/>
  <c r="C22" i="98" s="1"/>
  <c r="J11" i="98"/>
  <c r="F11" i="98" s="1"/>
  <c r="I19" i="98"/>
  <c r="E19" i="98" s="1"/>
  <c r="I20" i="98"/>
  <c r="E20" i="98" s="1"/>
  <c r="L19" i="98"/>
  <c r="J27" i="98"/>
  <c r="F27" i="98" s="1"/>
  <c r="L14" i="98"/>
  <c r="J14" i="98" s="1"/>
  <c r="F14" i="98" s="1"/>
  <c r="C14" i="98" s="1"/>
  <c r="L23" i="98"/>
  <c r="J23" i="98" s="1"/>
  <c r="F23" i="98" s="1"/>
  <c r="C23" i="98" s="1"/>
  <c r="L29" i="98"/>
  <c r="J29" i="98" s="1"/>
  <c r="F29" i="98" s="1"/>
  <c r="C29" i="98" s="1"/>
  <c r="B29" i="98" s="1"/>
  <c r="L9" i="98"/>
  <c r="J10" i="98" s="1"/>
  <c r="F10" i="98" s="1"/>
  <c r="C10" i="98" s="1"/>
  <c r="I15" i="98"/>
  <c r="E15" i="98" s="1"/>
  <c r="I30" i="98"/>
  <c r="E30" i="98" s="1"/>
  <c r="I19" i="97"/>
  <c r="E19" i="97" s="1"/>
  <c r="I20" i="97"/>
  <c r="E20" i="97" s="1"/>
  <c r="L19" i="97"/>
  <c r="J19" i="97" s="1"/>
  <c r="F19" i="97" s="1"/>
  <c r="L23" i="97"/>
  <c r="J23" i="97" s="1"/>
  <c r="F23" i="97" s="1"/>
  <c r="C23" i="97" s="1"/>
  <c r="I29" i="97"/>
  <c r="E29" i="97" s="1"/>
  <c r="I30" i="97"/>
  <c r="E30" i="97" s="1"/>
  <c r="L9" i="97"/>
  <c r="J10" i="97" s="1"/>
  <c r="F10" i="97" s="1"/>
  <c r="C10" i="97" s="1"/>
  <c r="E27" i="97"/>
  <c r="C27" i="97" s="1"/>
  <c r="L29" i="97"/>
  <c r="J29" i="97" s="1"/>
  <c r="F29" i="97" s="1"/>
  <c r="E22" i="97"/>
  <c r="I14" i="97"/>
  <c r="E14" i="97" s="1"/>
  <c r="I15" i="97"/>
  <c r="E15" i="97" s="1"/>
  <c r="J22" i="97"/>
  <c r="F22" i="97" s="1"/>
  <c r="L14" i="97"/>
  <c r="J14" i="97" s="1"/>
  <c r="F14" i="97" s="1"/>
  <c r="J16" i="97"/>
  <c r="F16" i="97" s="1"/>
  <c r="C16" i="97" s="1"/>
  <c r="J30" i="97"/>
  <c r="F30" i="97" s="1"/>
  <c r="J21" i="96"/>
  <c r="F21" i="96" s="1"/>
  <c r="C21" i="96" s="1"/>
  <c r="C23" i="96"/>
  <c r="J18" i="96"/>
  <c r="F18" i="96" s="1"/>
  <c r="J13" i="96"/>
  <c r="F13" i="96" s="1"/>
  <c r="J16" i="96"/>
  <c r="F16" i="96" s="1"/>
  <c r="C16" i="96" s="1"/>
  <c r="C17" i="96"/>
  <c r="J22" i="96"/>
  <c r="F22" i="96" s="1"/>
  <c r="C22" i="96" s="1"/>
  <c r="J27" i="96"/>
  <c r="F27" i="96" s="1"/>
  <c r="L19" i="96"/>
  <c r="J19" i="96" s="1"/>
  <c r="F19" i="96" s="1"/>
  <c r="L29" i="96"/>
  <c r="J29" i="96" s="1"/>
  <c r="F29" i="96" s="1"/>
  <c r="L14" i="96"/>
  <c r="J14" i="96" s="1"/>
  <c r="F14" i="96" s="1"/>
  <c r="C14" i="96" s="1"/>
  <c r="I20" i="96"/>
  <c r="E20" i="96" s="1"/>
  <c r="I30" i="96"/>
  <c r="E30" i="96" s="1"/>
  <c r="L9" i="96"/>
  <c r="J10" i="96" s="1"/>
  <c r="F10" i="96" s="1"/>
  <c r="C10" i="96" s="1"/>
  <c r="L23" i="96"/>
  <c r="J23" i="96" s="1"/>
  <c r="F23" i="96" s="1"/>
  <c r="I15" i="96"/>
  <c r="E15" i="96" s="1"/>
  <c r="I19" i="95"/>
  <c r="E19" i="95" s="1"/>
  <c r="I20" i="95"/>
  <c r="E20" i="95" s="1"/>
  <c r="L9" i="95"/>
  <c r="L19" i="95"/>
  <c r="J19" i="95" s="1"/>
  <c r="F19" i="95" s="1"/>
  <c r="L23" i="95"/>
  <c r="J23" i="95" s="1"/>
  <c r="F23" i="95" s="1"/>
  <c r="C23" i="95" s="1"/>
  <c r="I29" i="95"/>
  <c r="E29" i="95" s="1"/>
  <c r="I30" i="95"/>
  <c r="E30" i="95" s="1"/>
  <c r="L29" i="95"/>
  <c r="J29" i="95" s="1"/>
  <c r="F29" i="95" s="1"/>
  <c r="C12" i="95"/>
  <c r="C18" i="95"/>
  <c r="J22" i="95"/>
  <c r="F22" i="95" s="1"/>
  <c r="J10" i="95"/>
  <c r="F10" i="95" s="1"/>
  <c r="I14" i="95"/>
  <c r="E14" i="95" s="1"/>
  <c r="I15" i="95"/>
  <c r="E15" i="95" s="1"/>
  <c r="J26" i="95"/>
  <c r="F26" i="95" s="1"/>
  <c r="C26" i="95" s="1"/>
  <c r="L14" i="95"/>
  <c r="I19" i="94"/>
  <c r="E19" i="94" s="1"/>
  <c r="I20" i="94"/>
  <c r="E20" i="94" s="1"/>
  <c r="L9" i="94"/>
  <c r="J10" i="94" s="1"/>
  <c r="F10" i="94" s="1"/>
  <c r="C10" i="94" s="1"/>
  <c r="L19" i="94"/>
  <c r="J19" i="94" s="1"/>
  <c r="F19" i="94" s="1"/>
  <c r="I29" i="94"/>
  <c r="E29" i="94" s="1"/>
  <c r="I30" i="94"/>
  <c r="E30" i="94" s="1"/>
  <c r="L29" i="94"/>
  <c r="J29" i="94" s="1"/>
  <c r="F29" i="94" s="1"/>
  <c r="J22" i="94"/>
  <c r="F22" i="94" s="1"/>
  <c r="I14" i="94"/>
  <c r="E14" i="94" s="1"/>
  <c r="I15" i="94"/>
  <c r="E15" i="94" s="1"/>
  <c r="E13" i="94"/>
  <c r="L23" i="94"/>
  <c r="J23" i="94" s="1"/>
  <c r="F23" i="94" s="1"/>
  <c r="C23" i="94" s="1"/>
  <c r="C28" i="94"/>
  <c r="B27" i="94" s="1"/>
  <c r="B26" i="94" s="1"/>
  <c r="L14" i="94"/>
  <c r="J14" i="93"/>
  <c r="F14" i="93" s="1"/>
  <c r="L9" i="93"/>
  <c r="J10" i="93" s="1"/>
  <c r="F10" i="93" s="1"/>
  <c r="C10" i="93" s="1"/>
  <c r="J15" i="93"/>
  <c r="F15" i="93" s="1"/>
  <c r="I19" i="93"/>
  <c r="E19" i="93" s="1"/>
  <c r="I20" i="93"/>
  <c r="E20" i="93" s="1"/>
  <c r="E27" i="93"/>
  <c r="C27" i="93" s="1"/>
  <c r="L19" i="93"/>
  <c r="J19" i="93" s="1"/>
  <c r="F19" i="93" s="1"/>
  <c r="L23" i="93"/>
  <c r="J23" i="93" s="1"/>
  <c r="F23" i="93" s="1"/>
  <c r="C23" i="93" s="1"/>
  <c r="J26" i="93"/>
  <c r="F26" i="93" s="1"/>
  <c r="C26" i="93" s="1"/>
  <c r="I29" i="93"/>
  <c r="E29" i="93" s="1"/>
  <c r="I30" i="93"/>
  <c r="E30" i="93" s="1"/>
  <c r="C30" i="93" s="1"/>
  <c r="E22" i="93"/>
  <c r="I14" i="93"/>
  <c r="E14" i="93" s="1"/>
  <c r="C14" i="93" s="1"/>
  <c r="I15" i="93"/>
  <c r="E15" i="93" s="1"/>
  <c r="C15" i="93" s="1"/>
  <c r="C18" i="93"/>
  <c r="J22" i="93"/>
  <c r="F22" i="93" s="1"/>
  <c r="J24" i="93"/>
  <c r="F24" i="93" s="1"/>
  <c r="C24" i="93" s="1"/>
  <c r="J12" i="93"/>
  <c r="F12" i="93" s="1"/>
  <c r="C12" i="93" s="1"/>
  <c r="J16" i="93"/>
  <c r="F16" i="93" s="1"/>
  <c r="J30" i="93"/>
  <c r="F30" i="93" s="1"/>
  <c r="J10" i="92"/>
  <c r="F10" i="92" s="1"/>
  <c r="J18" i="92"/>
  <c r="F18" i="92" s="1"/>
  <c r="C18" i="92" s="1"/>
  <c r="J24" i="92"/>
  <c r="F24" i="92" s="1"/>
  <c r="J13" i="92"/>
  <c r="F13" i="92" s="1"/>
  <c r="C13" i="92" s="1"/>
  <c r="C14" i="92"/>
  <c r="C22" i="92"/>
  <c r="J16" i="92"/>
  <c r="F16" i="92" s="1"/>
  <c r="C16" i="92" s="1"/>
  <c r="C17" i="92"/>
  <c r="I10" i="92"/>
  <c r="E10" i="92" s="1"/>
  <c r="I24" i="92"/>
  <c r="E24" i="92" s="1"/>
  <c r="L14" i="92"/>
  <c r="J14" i="92" s="1"/>
  <c r="F14" i="92" s="1"/>
  <c r="L19" i="92"/>
  <c r="L29" i="92"/>
  <c r="J29" i="92" s="1"/>
  <c r="F29" i="92" s="1"/>
  <c r="C29" i="92" s="1"/>
  <c r="B29" i="92" s="1"/>
  <c r="I20" i="92"/>
  <c r="E20" i="92" s="1"/>
  <c r="I15" i="92"/>
  <c r="E15" i="92" s="1"/>
  <c r="I30" i="92"/>
  <c r="E30" i="92" s="1"/>
  <c r="J15" i="91"/>
  <c r="F15" i="91" s="1"/>
  <c r="J14" i="91"/>
  <c r="F14" i="91" s="1"/>
  <c r="I20" i="91"/>
  <c r="E20" i="91" s="1"/>
  <c r="I19" i="91"/>
  <c r="E19" i="91" s="1"/>
  <c r="J10" i="91"/>
  <c r="F10" i="91" s="1"/>
  <c r="L19" i="91"/>
  <c r="J19" i="91" s="1"/>
  <c r="F19" i="91" s="1"/>
  <c r="J22" i="91"/>
  <c r="F22" i="91" s="1"/>
  <c r="I30" i="91"/>
  <c r="E30" i="91" s="1"/>
  <c r="I29" i="91"/>
  <c r="E29" i="91" s="1"/>
  <c r="E13" i="91"/>
  <c r="L29" i="91"/>
  <c r="J29" i="91" s="1"/>
  <c r="F29" i="91" s="1"/>
  <c r="J27" i="91"/>
  <c r="F27" i="91" s="1"/>
  <c r="J11" i="91"/>
  <c r="F11" i="91" s="1"/>
  <c r="L9" i="91"/>
  <c r="I10" i="91"/>
  <c r="E10" i="91" s="1"/>
  <c r="C12" i="91"/>
  <c r="J18" i="91"/>
  <c r="F18" i="91" s="1"/>
  <c r="C18" i="91" s="1"/>
  <c r="I14" i="91"/>
  <c r="E14" i="91" s="1"/>
  <c r="I15" i="91"/>
  <c r="E15" i="91" s="1"/>
  <c r="J17" i="91"/>
  <c r="F17" i="91" s="1"/>
  <c r="C17" i="91" s="1"/>
  <c r="E27" i="91"/>
  <c r="C27" i="91" s="1"/>
  <c r="J23" i="91"/>
  <c r="F23" i="91" s="1"/>
  <c r="I24" i="91"/>
  <c r="E24" i="91" s="1"/>
  <c r="J18" i="90"/>
  <c r="F18" i="90" s="1"/>
  <c r="C18" i="90" s="1"/>
  <c r="J21" i="90"/>
  <c r="F21" i="90" s="1"/>
  <c r="C21" i="90" s="1"/>
  <c r="J24" i="90"/>
  <c r="F24" i="90" s="1"/>
  <c r="J13" i="90"/>
  <c r="F13" i="90" s="1"/>
  <c r="C13" i="90" s="1"/>
  <c r="C19" i="90"/>
  <c r="J22" i="90"/>
  <c r="F22" i="90" s="1"/>
  <c r="J27" i="90"/>
  <c r="F27" i="90" s="1"/>
  <c r="L19" i="90"/>
  <c r="J19" i="90" s="1"/>
  <c r="F19" i="90" s="1"/>
  <c r="L29" i="90"/>
  <c r="J29" i="90" s="1"/>
  <c r="F29" i="90" s="1"/>
  <c r="L14" i="90"/>
  <c r="J14" i="90" s="1"/>
  <c r="F14" i="90" s="1"/>
  <c r="C14" i="90" s="1"/>
  <c r="L9" i="90"/>
  <c r="J10" i="90" s="1"/>
  <c r="F10" i="90" s="1"/>
  <c r="C10" i="90" s="1"/>
  <c r="I20" i="90"/>
  <c r="E20" i="90" s="1"/>
  <c r="I24" i="90"/>
  <c r="E24" i="90" s="1"/>
  <c r="I29" i="90"/>
  <c r="E29" i="90" s="1"/>
  <c r="I15" i="90"/>
  <c r="E15" i="90" s="1"/>
  <c r="I19" i="89"/>
  <c r="E19" i="89" s="1"/>
  <c r="I20" i="89"/>
  <c r="E20" i="89" s="1"/>
  <c r="L19" i="89"/>
  <c r="J19" i="89" s="1"/>
  <c r="F19" i="89" s="1"/>
  <c r="L23" i="89"/>
  <c r="J23" i="89" s="1"/>
  <c r="F23" i="89" s="1"/>
  <c r="C23" i="89" s="1"/>
  <c r="I29" i="89"/>
  <c r="E29" i="89" s="1"/>
  <c r="I30" i="89"/>
  <c r="E30" i="89" s="1"/>
  <c r="L29" i="89"/>
  <c r="J29" i="89" s="1"/>
  <c r="F29" i="89" s="1"/>
  <c r="L9" i="89"/>
  <c r="J10" i="89" s="1"/>
  <c r="F10" i="89" s="1"/>
  <c r="C10" i="89" s="1"/>
  <c r="E22" i="89"/>
  <c r="J22" i="89"/>
  <c r="F22" i="89" s="1"/>
  <c r="I14" i="89"/>
  <c r="E14" i="89" s="1"/>
  <c r="I15" i="89"/>
  <c r="E15" i="89" s="1"/>
  <c r="J26" i="89"/>
  <c r="F26" i="89" s="1"/>
  <c r="C26" i="89" s="1"/>
  <c r="L14" i="89"/>
  <c r="J14" i="89" s="1"/>
  <c r="F14" i="89" s="1"/>
  <c r="J30" i="89"/>
  <c r="F30" i="89" s="1"/>
  <c r="E27" i="88"/>
  <c r="C27" i="88" s="1"/>
  <c r="I14" i="88"/>
  <c r="E14" i="88" s="1"/>
  <c r="I15" i="88"/>
  <c r="E15" i="88" s="1"/>
  <c r="J26" i="88"/>
  <c r="F26" i="88" s="1"/>
  <c r="E13" i="88"/>
  <c r="I19" i="88"/>
  <c r="E19" i="88" s="1"/>
  <c r="I20" i="88"/>
  <c r="E20" i="88" s="1"/>
  <c r="L9" i="88"/>
  <c r="J10" i="88" s="1"/>
  <c r="F10" i="88" s="1"/>
  <c r="C10" i="88" s="1"/>
  <c r="L19" i="88"/>
  <c r="J19" i="88" s="1"/>
  <c r="F19" i="88" s="1"/>
  <c r="L23" i="88"/>
  <c r="J23" i="88" s="1"/>
  <c r="F23" i="88" s="1"/>
  <c r="C23" i="88" s="1"/>
  <c r="I29" i="88"/>
  <c r="E29" i="88" s="1"/>
  <c r="I30" i="88"/>
  <c r="E30" i="88" s="1"/>
  <c r="L29" i="88"/>
  <c r="J29" i="88" s="1"/>
  <c r="F29" i="88" s="1"/>
  <c r="E22" i="88"/>
  <c r="J22" i="88"/>
  <c r="F22" i="88" s="1"/>
  <c r="C28" i="88"/>
  <c r="B27" i="88" s="1"/>
  <c r="L14" i="88"/>
  <c r="J14" i="88" s="1"/>
  <c r="F14" i="88" s="1"/>
  <c r="J12" i="88"/>
  <c r="F12" i="88" s="1"/>
  <c r="C12" i="88" s="1"/>
  <c r="J16" i="88"/>
  <c r="F16" i="88" s="1"/>
  <c r="C16" i="88" s="1"/>
  <c r="C26" i="87"/>
  <c r="C12" i="87"/>
  <c r="J24" i="87"/>
  <c r="F24" i="87" s="1"/>
  <c r="C24" i="87" s="1"/>
  <c r="C13" i="87"/>
  <c r="J27" i="87"/>
  <c r="F27" i="87" s="1"/>
  <c r="C27" i="87" s="1"/>
  <c r="B26" i="87" s="1"/>
  <c r="B25" i="87" s="1"/>
  <c r="B24" i="87" s="1"/>
  <c r="B23" i="87" s="1"/>
  <c r="I12" i="87"/>
  <c r="E12" i="87" s="1"/>
  <c r="I26" i="87"/>
  <c r="E26" i="87" s="1"/>
  <c r="L9" i="87"/>
  <c r="J10" i="87" s="1"/>
  <c r="F10" i="87" s="1"/>
  <c r="C10" i="87" s="1"/>
  <c r="L23" i="87"/>
  <c r="I21" i="87"/>
  <c r="E21" i="87" s="1"/>
  <c r="I15" i="87"/>
  <c r="E15" i="87" s="1"/>
  <c r="I30" i="87"/>
  <c r="E30" i="87" s="1"/>
  <c r="L19" i="87"/>
  <c r="J19" i="87" s="1"/>
  <c r="F19" i="87" s="1"/>
  <c r="L29" i="87"/>
  <c r="J29" i="87" s="1"/>
  <c r="F29" i="87" s="1"/>
  <c r="C29" i="87" s="1"/>
  <c r="B29" i="87" s="1"/>
  <c r="L14" i="87"/>
  <c r="I20" i="87"/>
  <c r="E20" i="87" s="1"/>
  <c r="J14" i="86"/>
  <c r="F14" i="86" s="1"/>
  <c r="J13" i="86"/>
  <c r="F13" i="86" s="1"/>
  <c r="E22" i="86"/>
  <c r="C22" i="86" s="1"/>
  <c r="I14" i="86"/>
  <c r="E14" i="86" s="1"/>
  <c r="I15" i="86"/>
  <c r="E15" i="86" s="1"/>
  <c r="C15" i="86" s="1"/>
  <c r="E13" i="86"/>
  <c r="L9" i="86"/>
  <c r="J10" i="86" s="1"/>
  <c r="F10" i="86" s="1"/>
  <c r="I19" i="86"/>
  <c r="E19" i="86" s="1"/>
  <c r="I20" i="86"/>
  <c r="E20" i="86" s="1"/>
  <c r="E27" i="86"/>
  <c r="C27" i="86" s="1"/>
  <c r="L19" i="86"/>
  <c r="J19" i="86" s="1"/>
  <c r="F19" i="86" s="1"/>
  <c r="L23" i="86"/>
  <c r="I29" i="86"/>
  <c r="E29" i="86" s="1"/>
  <c r="I30" i="86"/>
  <c r="E30" i="86" s="1"/>
  <c r="L29" i="86"/>
  <c r="J29" i="86" s="1"/>
  <c r="F29" i="86" s="1"/>
  <c r="J12" i="86"/>
  <c r="F12" i="86" s="1"/>
  <c r="C12" i="86" s="1"/>
  <c r="J16" i="86"/>
  <c r="F16" i="86" s="1"/>
  <c r="C16" i="86" s="1"/>
  <c r="J24" i="85"/>
  <c r="F24" i="85" s="1"/>
  <c r="J22" i="85"/>
  <c r="F22" i="85" s="1"/>
  <c r="C22" i="85" s="1"/>
  <c r="E13" i="85"/>
  <c r="C23" i="85"/>
  <c r="C10" i="85"/>
  <c r="J21" i="85"/>
  <c r="F21" i="85" s="1"/>
  <c r="C17" i="85"/>
  <c r="I12" i="85"/>
  <c r="E12" i="85" s="1"/>
  <c r="I26" i="85"/>
  <c r="E26" i="85" s="1"/>
  <c r="C26" i="85" s="1"/>
  <c r="I21" i="85"/>
  <c r="E21" i="85" s="1"/>
  <c r="I24" i="85"/>
  <c r="E24" i="85" s="1"/>
  <c r="C24" i="85" s="1"/>
  <c r="L19" i="85"/>
  <c r="J19" i="85" s="1"/>
  <c r="F19" i="85" s="1"/>
  <c r="C19" i="85" s="1"/>
  <c r="L29" i="85"/>
  <c r="J29" i="85" s="1"/>
  <c r="F29" i="85" s="1"/>
  <c r="C29" i="85" s="1"/>
  <c r="B29" i="85" s="1"/>
  <c r="L14" i="85"/>
  <c r="L9" i="85"/>
  <c r="J10" i="85" s="1"/>
  <c r="F10" i="85" s="1"/>
  <c r="I20" i="85"/>
  <c r="E20" i="85" s="1"/>
  <c r="I15" i="85"/>
  <c r="E15" i="85" s="1"/>
  <c r="I30" i="85"/>
  <c r="E30" i="85" s="1"/>
  <c r="J24" i="84"/>
  <c r="F24" i="84" s="1"/>
  <c r="I14" i="84"/>
  <c r="E14" i="84" s="1"/>
  <c r="L14" i="84"/>
  <c r="J14" i="84" s="1"/>
  <c r="F14" i="84" s="1"/>
  <c r="I29" i="84"/>
  <c r="E29" i="84" s="1"/>
  <c r="L29" i="84"/>
  <c r="J29" i="84" s="1"/>
  <c r="F29" i="84" s="1"/>
  <c r="J12" i="84"/>
  <c r="F12" i="84" s="1"/>
  <c r="J10" i="84"/>
  <c r="F10" i="84" s="1"/>
  <c r="J25" i="84"/>
  <c r="F25" i="84" s="1"/>
  <c r="C25" i="84" s="1"/>
  <c r="I19" i="84"/>
  <c r="E19" i="84" s="1"/>
  <c r="I20" i="84"/>
  <c r="E20" i="84" s="1"/>
  <c r="L19" i="84"/>
  <c r="J19" i="84" s="1"/>
  <c r="F19" i="84" s="1"/>
  <c r="E22" i="84"/>
  <c r="J22" i="84"/>
  <c r="F22" i="84" s="1"/>
  <c r="C22" i="84" s="1"/>
  <c r="E13" i="84"/>
  <c r="C13" i="84" s="1"/>
  <c r="C26" i="84"/>
  <c r="I15" i="84"/>
  <c r="E15" i="84" s="1"/>
  <c r="I30" i="84"/>
  <c r="E30" i="84" s="1"/>
  <c r="I10" i="84"/>
  <c r="E10" i="84" s="1"/>
  <c r="C25" i="83"/>
  <c r="C29" i="83"/>
  <c r="B29" i="83" s="1"/>
  <c r="J13" i="83"/>
  <c r="F13" i="83" s="1"/>
  <c r="C13" i="83" s="1"/>
  <c r="J21" i="83"/>
  <c r="F21" i="83" s="1"/>
  <c r="J29" i="83"/>
  <c r="F29" i="83" s="1"/>
  <c r="J16" i="83"/>
  <c r="F16" i="83" s="1"/>
  <c r="C10" i="83"/>
  <c r="J30" i="83"/>
  <c r="F30" i="83" s="1"/>
  <c r="I23" i="83"/>
  <c r="E23" i="83" s="1"/>
  <c r="C23" i="83" s="1"/>
  <c r="L26" i="83"/>
  <c r="J26" i="83" s="1"/>
  <c r="F26" i="83" s="1"/>
  <c r="C26" i="83" s="1"/>
  <c r="L27" i="83"/>
  <c r="I21" i="83"/>
  <c r="E21" i="83" s="1"/>
  <c r="L17" i="83"/>
  <c r="J17" i="83" s="1"/>
  <c r="F17" i="83" s="1"/>
  <c r="I20" i="83"/>
  <c r="E20" i="83" s="1"/>
  <c r="C20" i="83" s="1"/>
  <c r="I17" i="83"/>
  <c r="E17" i="83" s="1"/>
  <c r="I16" i="83"/>
  <c r="E16" i="83" s="1"/>
  <c r="C16" i="83" s="1"/>
  <c r="I28" i="83"/>
  <c r="E28" i="83" s="1"/>
  <c r="I29" i="83"/>
  <c r="E29" i="83" s="1"/>
  <c r="I30" i="83"/>
  <c r="E30" i="83" s="1"/>
  <c r="I18" i="50"/>
  <c r="E18" i="50" s="1"/>
  <c r="L18" i="50"/>
  <c r="J18" i="50" s="1"/>
  <c r="F18" i="50" s="1"/>
  <c r="C18" i="50" s="1"/>
  <c r="I24" i="50"/>
  <c r="E24" i="50" s="1"/>
  <c r="C24" i="50" s="1"/>
  <c r="I19" i="50"/>
  <c r="E19" i="50" s="1"/>
  <c r="J21" i="50"/>
  <c r="F21" i="50" s="1"/>
  <c r="I12" i="50"/>
  <c r="E12" i="50" s="1"/>
  <c r="L19" i="50"/>
  <c r="L25" i="50"/>
  <c r="J25" i="50" s="1"/>
  <c r="F25" i="50" s="1"/>
  <c r="C25" i="50" s="1"/>
  <c r="I16" i="50"/>
  <c r="E16" i="50" s="1"/>
  <c r="I22" i="50"/>
  <c r="E22" i="50" s="1"/>
  <c r="I10" i="50"/>
  <c r="E10" i="50" s="1"/>
  <c r="I29" i="50"/>
  <c r="E29" i="50" s="1"/>
  <c r="I26" i="50"/>
  <c r="E26" i="50" s="1"/>
  <c r="L26" i="50"/>
  <c r="I11" i="50"/>
  <c r="E11" i="50" s="1"/>
  <c r="J10" i="50"/>
  <c r="F10" i="50" s="1"/>
  <c r="J11" i="50"/>
  <c r="F11" i="50" s="1"/>
  <c r="J28" i="50"/>
  <c r="F28" i="50" s="1"/>
  <c r="J14" i="50"/>
  <c r="F14" i="50" s="1"/>
  <c r="J15" i="50"/>
  <c r="F15" i="50" s="1"/>
  <c r="L16" i="50"/>
  <c r="J16" i="50" s="1"/>
  <c r="F16" i="50" s="1"/>
  <c r="L29" i="50"/>
  <c r="J29" i="50" s="1"/>
  <c r="F29" i="50" s="1"/>
  <c r="I15" i="50"/>
  <c r="E15" i="50" s="1"/>
  <c r="L22" i="50"/>
  <c r="J22" i="50" s="1"/>
  <c r="F22" i="50" s="1"/>
  <c r="I28" i="50"/>
  <c r="E28" i="50" s="1"/>
  <c r="L12" i="50"/>
  <c r="J12" i="50" s="1"/>
  <c r="F12" i="50" s="1"/>
  <c r="I21" i="50"/>
  <c r="E21" i="50" s="1"/>
  <c r="C21" i="50" s="1"/>
  <c r="I14" i="50"/>
  <c r="E14" i="50" s="1"/>
  <c r="I27" i="50"/>
  <c r="E27" i="50" s="1"/>
  <c r="I17" i="50"/>
  <c r="E17" i="50" s="1"/>
  <c r="I13" i="50"/>
  <c r="E13" i="50" s="1"/>
  <c r="B25" i="105" l="1"/>
  <c r="B26" i="95"/>
  <c r="J19" i="98"/>
  <c r="F19" i="98" s="1"/>
  <c r="J20" i="98"/>
  <c r="F20" i="98" s="1"/>
  <c r="B26" i="104"/>
  <c r="B25" i="104" s="1"/>
  <c r="J17" i="86"/>
  <c r="F17" i="86" s="1"/>
  <c r="C17" i="86" s="1"/>
  <c r="J18" i="86"/>
  <c r="F18" i="86" s="1"/>
  <c r="C18" i="86" s="1"/>
  <c r="C13" i="86"/>
  <c r="C17" i="102"/>
  <c r="C12" i="84"/>
  <c r="J27" i="85"/>
  <c r="F27" i="85" s="1"/>
  <c r="C27" i="85" s="1"/>
  <c r="B26" i="88"/>
  <c r="B26" i="91"/>
  <c r="B25" i="91" s="1"/>
  <c r="C22" i="90"/>
  <c r="C13" i="95"/>
  <c r="J24" i="88"/>
  <c r="F24" i="88" s="1"/>
  <c r="C24" i="88" s="1"/>
  <c r="C26" i="88"/>
  <c r="B25" i="88" s="1"/>
  <c r="B24" i="88" s="1"/>
  <c r="B23" i="88" s="1"/>
  <c r="B22" i="88" s="1"/>
  <c r="J20" i="91"/>
  <c r="F20" i="91" s="1"/>
  <c r="C20" i="91" s="1"/>
  <c r="C16" i="93"/>
  <c r="C25" i="105"/>
  <c r="J23" i="99"/>
  <c r="F23" i="99" s="1"/>
  <c r="C23" i="99" s="1"/>
  <c r="J18" i="84"/>
  <c r="F18" i="84" s="1"/>
  <c r="J17" i="88"/>
  <c r="F17" i="88" s="1"/>
  <c r="C17" i="88" s="1"/>
  <c r="J18" i="88"/>
  <c r="F18" i="88" s="1"/>
  <c r="C18" i="88" s="1"/>
  <c r="C18" i="111"/>
  <c r="C30" i="89"/>
  <c r="J17" i="94"/>
  <c r="F17" i="94" s="1"/>
  <c r="C17" i="94" s="1"/>
  <c r="C10" i="95"/>
  <c r="C18" i="96"/>
  <c r="J30" i="98"/>
  <c r="F30" i="98" s="1"/>
  <c r="C19" i="99"/>
  <c r="J22" i="100"/>
  <c r="F22" i="100" s="1"/>
  <c r="C22" i="100" s="1"/>
  <c r="C14" i="108"/>
  <c r="J15" i="83"/>
  <c r="F15" i="83" s="1"/>
  <c r="C15" i="83" s="1"/>
  <c r="J12" i="103"/>
  <c r="F12" i="103" s="1"/>
  <c r="C12" i="103" s="1"/>
  <c r="J13" i="103"/>
  <c r="F13" i="103" s="1"/>
  <c r="C16" i="105"/>
  <c r="J13" i="97"/>
  <c r="F13" i="97" s="1"/>
  <c r="C13" i="97" s="1"/>
  <c r="J12" i="97"/>
  <c r="F12" i="97" s="1"/>
  <c r="C12" i="97" s="1"/>
  <c r="C18" i="97"/>
  <c r="J20" i="97"/>
  <c r="F20" i="97" s="1"/>
  <c r="C20" i="97" s="1"/>
  <c r="J21" i="97"/>
  <c r="F21" i="97" s="1"/>
  <c r="C18" i="87"/>
  <c r="C14" i="86"/>
  <c r="J15" i="107"/>
  <c r="F15" i="107" s="1"/>
  <c r="C15" i="107" s="1"/>
  <c r="C11" i="85"/>
  <c r="B26" i="99"/>
  <c r="B25" i="99" s="1"/>
  <c r="B24" i="99" s="1"/>
  <c r="J17" i="97"/>
  <c r="F17" i="97" s="1"/>
  <c r="C17" i="97" s="1"/>
  <c r="J18" i="97"/>
  <c r="F18" i="97" s="1"/>
  <c r="C12" i="100"/>
  <c r="C13" i="106"/>
  <c r="C11" i="91"/>
  <c r="C22" i="110"/>
  <c r="C24" i="90"/>
  <c r="J25" i="91"/>
  <c r="F25" i="91" s="1"/>
  <c r="C25" i="91" s="1"/>
  <c r="C14" i="94"/>
  <c r="J16" i="95"/>
  <c r="F16" i="95" s="1"/>
  <c r="C16" i="95" s="1"/>
  <c r="J29" i="103"/>
  <c r="F29" i="103" s="1"/>
  <c r="C29" i="103" s="1"/>
  <c r="B29" i="103" s="1"/>
  <c r="C10" i="106"/>
  <c r="J16" i="87"/>
  <c r="F16" i="87" s="1"/>
  <c r="C16" i="87" s="1"/>
  <c r="J17" i="87"/>
  <c r="F17" i="87" s="1"/>
  <c r="C17" i="87" s="1"/>
  <c r="C13" i="103"/>
  <c r="J12" i="85"/>
  <c r="F12" i="85" s="1"/>
  <c r="C12" i="85" s="1"/>
  <c r="J14" i="94"/>
  <c r="F14" i="94" s="1"/>
  <c r="J15" i="94"/>
  <c r="F15" i="94" s="1"/>
  <c r="C15" i="94" s="1"/>
  <c r="J12" i="89"/>
  <c r="F12" i="89" s="1"/>
  <c r="C12" i="89" s="1"/>
  <c r="J13" i="89"/>
  <c r="F13" i="89" s="1"/>
  <c r="C13" i="89" s="1"/>
  <c r="C28" i="96"/>
  <c r="B27" i="96" s="1"/>
  <c r="C26" i="92"/>
  <c r="J27" i="84"/>
  <c r="F27" i="84" s="1"/>
  <c r="C27" i="84" s="1"/>
  <c r="J28" i="84"/>
  <c r="F28" i="84" s="1"/>
  <c r="C28" i="84" s="1"/>
  <c r="B27" i="84" s="1"/>
  <c r="J23" i="86"/>
  <c r="F23" i="86" s="1"/>
  <c r="C23" i="86" s="1"/>
  <c r="J24" i="86"/>
  <c r="F24" i="86" s="1"/>
  <c r="C24" i="86" s="1"/>
  <c r="J16" i="90"/>
  <c r="F16" i="90" s="1"/>
  <c r="C16" i="90" s="1"/>
  <c r="C10" i="91"/>
  <c r="J15" i="101"/>
  <c r="F15" i="101" s="1"/>
  <c r="B24" i="103"/>
  <c r="J26" i="92"/>
  <c r="F26" i="92" s="1"/>
  <c r="J27" i="92"/>
  <c r="F27" i="92" s="1"/>
  <c r="C27" i="92" s="1"/>
  <c r="B26" i="92" s="1"/>
  <c r="C21" i="98"/>
  <c r="J11" i="104"/>
  <c r="F11" i="104" s="1"/>
  <c r="C11" i="104" s="1"/>
  <c r="C27" i="90"/>
  <c r="B26" i="90" s="1"/>
  <c r="B25" i="90" s="1"/>
  <c r="B24" i="90" s="1"/>
  <c r="B23" i="90" s="1"/>
  <c r="B22" i="90" s="1"/>
  <c r="B21" i="90" s="1"/>
  <c r="B20" i="90" s="1"/>
  <c r="C16" i="89"/>
  <c r="C13" i="107"/>
  <c r="C21" i="88"/>
  <c r="C14" i="101"/>
  <c r="J12" i="83"/>
  <c r="F12" i="83" s="1"/>
  <c r="C12" i="83" s="1"/>
  <c r="C16" i="98"/>
  <c r="J13" i="94"/>
  <c r="F13" i="94" s="1"/>
  <c r="C17" i="99"/>
  <c r="C21" i="86"/>
  <c r="J25" i="97"/>
  <c r="F25" i="97" s="1"/>
  <c r="C25" i="97" s="1"/>
  <c r="J26" i="97"/>
  <c r="F26" i="97" s="1"/>
  <c r="C26" i="97" s="1"/>
  <c r="C26" i="90"/>
  <c r="C13" i="85"/>
  <c r="C19" i="87"/>
  <c r="C29" i="93"/>
  <c r="B29" i="93" s="1"/>
  <c r="B30" i="93" s="1"/>
  <c r="J30" i="95"/>
  <c r="F30" i="95" s="1"/>
  <c r="C30" i="95" s="1"/>
  <c r="C19" i="96"/>
  <c r="J24" i="97"/>
  <c r="F24" i="97" s="1"/>
  <c r="C24" i="97" s="1"/>
  <c r="J19" i="103"/>
  <c r="F19" i="103" s="1"/>
  <c r="J20" i="103"/>
  <c r="F20" i="103" s="1"/>
  <c r="C10" i="105"/>
  <c r="C13" i="93"/>
  <c r="C28" i="106"/>
  <c r="B27" i="106" s="1"/>
  <c r="B26" i="106" s="1"/>
  <c r="B25" i="106" s="1"/>
  <c r="B24" i="106" s="1"/>
  <c r="B23" i="106" s="1"/>
  <c r="B22" i="106" s="1"/>
  <c r="B21" i="106" s="1"/>
  <c r="B20" i="106" s="1"/>
  <c r="C22" i="105"/>
  <c r="J16" i="99"/>
  <c r="F16" i="99" s="1"/>
  <c r="C16" i="99" s="1"/>
  <c r="J20" i="86"/>
  <c r="F20" i="86" s="1"/>
  <c r="C25" i="94"/>
  <c r="C23" i="87"/>
  <c r="B22" i="87" s="1"/>
  <c r="B21" i="87" s="1"/>
  <c r="J25" i="86"/>
  <c r="F25" i="86" s="1"/>
  <c r="C25" i="86" s="1"/>
  <c r="J26" i="86"/>
  <c r="F26" i="86" s="1"/>
  <c r="C26" i="86" s="1"/>
  <c r="B25" i="86" s="1"/>
  <c r="B24" i="86" s="1"/>
  <c r="B23" i="86" s="1"/>
  <c r="B22" i="86" s="1"/>
  <c r="B21" i="86" s="1"/>
  <c r="B20" i="86" s="1"/>
  <c r="J25" i="111"/>
  <c r="F25" i="111" s="1"/>
  <c r="J26" i="111"/>
  <c r="F26" i="111" s="1"/>
  <c r="C26" i="111" s="1"/>
  <c r="C17" i="83"/>
  <c r="J14" i="95"/>
  <c r="F14" i="95" s="1"/>
  <c r="J15" i="95"/>
  <c r="F15" i="95" s="1"/>
  <c r="J13" i="99"/>
  <c r="F13" i="99" s="1"/>
  <c r="C13" i="99" s="1"/>
  <c r="C27" i="107"/>
  <c r="B26" i="107" s="1"/>
  <c r="B25" i="107" s="1"/>
  <c r="B24" i="107" s="1"/>
  <c r="B23" i="107" s="1"/>
  <c r="B22" i="107" s="1"/>
  <c r="B21" i="107" s="1"/>
  <c r="B20" i="107" s="1"/>
  <c r="B26" i="108"/>
  <c r="B25" i="108" s="1"/>
  <c r="B24" i="108" s="1"/>
  <c r="J21" i="104"/>
  <c r="F21" i="104" s="1"/>
  <c r="C21" i="104" s="1"/>
  <c r="J22" i="104"/>
  <c r="F22" i="104" s="1"/>
  <c r="C22" i="104" s="1"/>
  <c r="J22" i="87"/>
  <c r="F22" i="87" s="1"/>
  <c r="C22" i="87" s="1"/>
  <c r="C14" i="106"/>
  <c r="C22" i="106"/>
  <c r="C21" i="91"/>
  <c r="C25" i="106"/>
  <c r="C25" i="102"/>
  <c r="C21" i="109"/>
  <c r="C29" i="89"/>
  <c r="B29" i="89" s="1"/>
  <c r="C24" i="91"/>
  <c r="C30" i="97"/>
  <c r="C29" i="102"/>
  <c r="B29" i="102" s="1"/>
  <c r="J22" i="103"/>
  <c r="F22" i="103" s="1"/>
  <c r="C22" i="103" s="1"/>
  <c r="J25" i="104"/>
  <c r="F25" i="104" s="1"/>
  <c r="C25" i="104" s="1"/>
  <c r="J29" i="107"/>
  <c r="F29" i="107" s="1"/>
  <c r="C29" i="107" s="1"/>
  <c r="B29" i="107" s="1"/>
  <c r="J28" i="111"/>
  <c r="F28" i="111" s="1"/>
  <c r="C28" i="111" s="1"/>
  <c r="B27" i="111" s="1"/>
  <c r="B26" i="111" s="1"/>
  <c r="C23" i="104"/>
  <c r="C28" i="104"/>
  <c r="B27" i="104" s="1"/>
  <c r="C16" i="104"/>
  <c r="C21" i="85"/>
  <c r="C10" i="86"/>
  <c r="C23" i="91"/>
  <c r="C14" i="95"/>
  <c r="C27" i="96"/>
  <c r="C29" i="97"/>
  <c r="B29" i="97" s="1"/>
  <c r="B30" i="97" s="1"/>
  <c r="C27" i="98"/>
  <c r="B26" i="98" s="1"/>
  <c r="B25" i="98" s="1"/>
  <c r="B24" i="98" s="1"/>
  <c r="J30" i="101"/>
  <c r="F30" i="101" s="1"/>
  <c r="J27" i="101"/>
  <c r="F27" i="101" s="1"/>
  <c r="C27" i="101" s="1"/>
  <c r="B26" i="101" s="1"/>
  <c r="B25" i="101" s="1"/>
  <c r="B24" i="101" s="1"/>
  <c r="C19" i="106"/>
  <c r="C27" i="109"/>
  <c r="B26" i="109" s="1"/>
  <c r="B25" i="109" s="1"/>
  <c r="B24" i="109" s="1"/>
  <c r="C14" i="111"/>
  <c r="C11" i="89"/>
  <c r="J17" i="105"/>
  <c r="F17" i="105" s="1"/>
  <c r="C17" i="105" s="1"/>
  <c r="J26" i="106"/>
  <c r="F26" i="106" s="1"/>
  <c r="C26" i="106" s="1"/>
  <c r="C11" i="100"/>
  <c r="J21" i="86"/>
  <c r="F21" i="86" s="1"/>
  <c r="C25" i="90"/>
  <c r="C30" i="83"/>
  <c r="B30" i="83" s="1"/>
  <c r="C24" i="84"/>
  <c r="J23" i="87"/>
  <c r="F23" i="87" s="1"/>
  <c r="C14" i="91"/>
  <c r="J26" i="94"/>
  <c r="F26" i="94" s="1"/>
  <c r="C26" i="94" s="1"/>
  <c r="B25" i="94" s="1"/>
  <c r="B24" i="94" s="1"/>
  <c r="C30" i="99"/>
  <c r="J24" i="103"/>
  <c r="F24" i="103" s="1"/>
  <c r="C24" i="103" s="1"/>
  <c r="C20" i="103"/>
  <c r="C26" i="108"/>
  <c r="C28" i="110"/>
  <c r="B27" i="110" s="1"/>
  <c r="C25" i="111"/>
  <c r="C23" i="100"/>
  <c r="B22" i="100" s="1"/>
  <c r="B21" i="100" s="1"/>
  <c r="B20" i="100" s="1"/>
  <c r="C28" i="108"/>
  <c r="B27" i="108" s="1"/>
  <c r="C28" i="90"/>
  <c r="B27" i="90" s="1"/>
  <c r="C18" i="85"/>
  <c r="J12" i="92"/>
  <c r="F12" i="92" s="1"/>
  <c r="C12" i="92" s="1"/>
  <c r="C15" i="91"/>
  <c r="C13" i="94"/>
  <c r="C13" i="96"/>
  <c r="C11" i="98"/>
  <c r="C24" i="99"/>
  <c r="C21" i="99"/>
  <c r="C26" i="102"/>
  <c r="B25" i="102" s="1"/>
  <c r="B24" i="102" s="1"/>
  <c r="C25" i="103"/>
  <c r="C13" i="88"/>
  <c r="C10" i="92"/>
  <c r="J24" i="96"/>
  <c r="F24" i="96" s="1"/>
  <c r="C24" i="96" s="1"/>
  <c r="C18" i="99"/>
  <c r="C15" i="101"/>
  <c r="C19" i="103"/>
  <c r="J30" i="107"/>
  <c r="F30" i="107" s="1"/>
  <c r="C30" i="107" s="1"/>
  <c r="C17" i="108"/>
  <c r="C30" i="109"/>
  <c r="B30" i="109" s="1"/>
  <c r="C11" i="107"/>
  <c r="C21" i="93"/>
  <c r="C25" i="92"/>
  <c r="J12" i="100"/>
  <c r="F12" i="100" s="1"/>
  <c r="C11" i="87"/>
  <c r="C21" i="95"/>
  <c r="C18" i="84"/>
  <c r="J26" i="96"/>
  <c r="F26" i="96" s="1"/>
  <c r="C26" i="96" s="1"/>
  <c r="C28" i="99"/>
  <c r="B27" i="99" s="1"/>
  <c r="C21" i="97"/>
  <c r="J20" i="111"/>
  <c r="F20" i="111" s="1"/>
  <c r="C20" i="111" s="1"/>
  <c r="C29" i="111"/>
  <c r="B29" i="111" s="1"/>
  <c r="J15" i="111"/>
  <c r="F15" i="111" s="1"/>
  <c r="C15" i="111" s="1"/>
  <c r="B25" i="111"/>
  <c r="B24" i="111" s="1"/>
  <c r="C24" i="111"/>
  <c r="J30" i="111"/>
  <c r="F30" i="111" s="1"/>
  <c r="C30" i="111" s="1"/>
  <c r="C19" i="110"/>
  <c r="C24" i="110"/>
  <c r="J15" i="110"/>
  <c r="F15" i="110" s="1"/>
  <c r="C15" i="110" s="1"/>
  <c r="J14" i="110"/>
  <c r="F14" i="110" s="1"/>
  <c r="C14" i="110" s="1"/>
  <c r="C20" i="110"/>
  <c r="C27" i="110"/>
  <c r="B26" i="110" s="1"/>
  <c r="B25" i="110" s="1"/>
  <c r="B24" i="110" s="1"/>
  <c r="B23" i="110" s="1"/>
  <c r="B22" i="110" s="1"/>
  <c r="B21" i="110" s="1"/>
  <c r="B20" i="110" s="1"/>
  <c r="B19" i="110" s="1"/>
  <c r="B18" i="110" s="1"/>
  <c r="B17" i="110" s="1"/>
  <c r="B16" i="110" s="1"/>
  <c r="B15" i="110" s="1"/>
  <c r="J29" i="110"/>
  <c r="F29" i="110" s="1"/>
  <c r="C29" i="110" s="1"/>
  <c r="B29" i="110" s="1"/>
  <c r="J30" i="110"/>
  <c r="F30" i="110" s="1"/>
  <c r="C30" i="110" s="1"/>
  <c r="J20" i="110"/>
  <c r="F20" i="110" s="1"/>
  <c r="C23" i="110"/>
  <c r="J24" i="110"/>
  <c r="F24" i="110" s="1"/>
  <c r="C19" i="109"/>
  <c r="C22" i="109"/>
  <c r="J24" i="109"/>
  <c r="F24" i="109" s="1"/>
  <c r="C24" i="109" s="1"/>
  <c r="J20" i="109"/>
  <c r="F20" i="109" s="1"/>
  <c r="C20" i="109" s="1"/>
  <c r="J15" i="109"/>
  <c r="F15" i="109" s="1"/>
  <c r="C15" i="109" s="1"/>
  <c r="C14" i="109"/>
  <c r="J30" i="108"/>
  <c r="F30" i="108" s="1"/>
  <c r="C30" i="108" s="1"/>
  <c r="B30" i="108" s="1"/>
  <c r="J24" i="108"/>
  <c r="F24" i="108" s="1"/>
  <c r="C24" i="108" s="1"/>
  <c r="B23" i="108" s="1"/>
  <c r="B22" i="108" s="1"/>
  <c r="B21" i="108" s="1"/>
  <c r="C21" i="108"/>
  <c r="J20" i="108"/>
  <c r="F20" i="108" s="1"/>
  <c r="C20" i="108" s="1"/>
  <c r="J15" i="108"/>
  <c r="F15" i="108" s="1"/>
  <c r="C15" i="108" s="1"/>
  <c r="C19" i="107"/>
  <c r="J20" i="107"/>
  <c r="F20" i="107" s="1"/>
  <c r="C20" i="107" s="1"/>
  <c r="C14" i="107"/>
  <c r="C10" i="107"/>
  <c r="C20" i="106"/>
  <c r="C15" i="106"/>
  <c r="J30" i="106"/>
  <c r="F30" i="106" s="1"/>
  <c r="C30" i="106" s="1"/>
  <c r="B30" i="106" s="1"/>
  <c r="J19" i="105"/>
  <c r="F19" i="105" s="1"/>
  <c r="C19" i="105" s="1"/>
  <c r="J20" i="105"/>
  <c r="F20" i="105" s="1"/>
  <c r="C20" i="105" s="1"/>
  <c r="C13" i="105"/>
  <c r="C24" i="105"/>
  <c r="J30" i="105"/>
  <c r="F30" i="105" s="1"/>
  <c r="C30" i="105" s="1"/>
  <c r="B30" i="105" s="1"/>
  <c r="J15" i="105"/>
  <c r="F15" i="105" s="1"/>
  <c r="C15" i="105" s="1"/>
  <c r="J20" i="104"/>
  <c r="F20" i="104" s="1"/>
  <c r="J15" i="104"/>
  <c r="F15" i="104" s="1"/>
  <c r="C15" i="104"/>
  <c r="C29" i="104"/>
  <c r="B29" i="104" s="1"/>
  <c r="C14" i="104"/>
  <c r="C20" i="104"/>
  <c r="C19" i="104"/>
  <c r="J30" i="104"/>
  <c r="F30" i="104" s="1"/>
  <c r="C30" i="104" s="1"/>
  <c r="B23" i="103"/>
  <c r="B22" i="103" s="1"/>
  <c r="C15" i="103"/>
  <c r="J30" i="103"/>
  <c r="F30" i="103" s="1"/>
  <c r="C30" i="103" s="1"/>
  <c r="C24" i="102"/>
  <c r="C14" i="102"/>
  <c r="J30" i="102"/>
  <c r="F30" i="102" s="1"/>
  <c r="C30" i="102" s="1"/>
  <c r="J19" i="102"/>
  <c r="F19" i="102" s="1"/>
  <c r="C19" i="102" s="1"/>
  <c r="J20" i="102"/>
  <c r="F20" i="102" s="1"/>
  <c r="C20" i="102" s="1"/>
  <c r="J15" i="102"/>
  <c r="F15" i="102" s="1"/>
  <c r="C15" i="102" s="1"/>
  <c r="C30" i="101"/>
  <c r="C29" i="101"/>
  <c r="B29" i="101" s="1"/>
  <c r="B30" i="101" s="1"/>
  <c r="J24" i="101"/>
  <c r="F24" i="101" s="1"/>
  <c r="C24" i="101" s="1"/>
  <c r="J20" i="100"/>
  <c r="F20" i="100" s="1"/>
  <c r="C20" i="100" s="1"/>
  <c r="J15" i="100"/>
  <c r="F15" i="100" s="1"/>
  <c r="C15" i="100" s="1"/>
  <c r="J30" i="100"/>
  <c r="F30" i="100" s="1"/>
  <c r="C30" i="100" s="1"/>
  <c r="B30" i="100" s="1"/>
  <c r="J20" i="99"/>
  <c r="F20" i="99" s="1"/>
  <c r="C20" i="99" s="1"/>
  <c r="C29" i="99"/>
  <c r="B29" i="99" s="1"/>
  <c r="J15" i="99"/>
  <c r="F15" i="99" s="1"/>
  <c r="C15" i="99" s="1"/>
  <c r="J24" i="98"/>
  <c r="F24" i="98" s="1"/>
  <c r="C24" i="98" s="1"/>
  <c r="B23" i="98" s="1"/>
  <c r="B22" i="98" s="1"/>
  <c r="B21" i="98" s="1"/>
  <c r="B20" i="98" s="1"/>
  <c r="C20" i="98"/>
  <c r="C13" i="98"/>
  <c r="C30" i="98"/>
  <c r="B30" i="98"/>
  <c r="C19" i="98"/>
  <c r="J15" i="98"/>
  <c r="F15" i="98" s="1"/>
  <c r="C15" i="98" s="1"/>
  <c r="B26" i="97"/>
  <c r="C14" i="97"/>
  <c r="C19" i="97"/>
  <c r="J15" i="97"/>
  <c r="F15" i="97" s="1"/>
  <c r="C15" i="97" s="1"/>
  <c r="C22" i="97"/>
  <c r="J30" i="96"/>
  <c r="F30" i="96" s="1"/>
  <c r="J15" i="96"/>
  <c r="F15" i="96" s="1"/>
  <c r="C15" i="96"/>
  <c r="J20" i="96"/>
  <c r="F20" i="96" s="1"/>
  <c r="C20" i="96" s="1"/>
  <c r="C30" i="96"/>
  <c r="B30" i="96" s="1"/>
  <c r="C20" i="95"/>
  <c r="B25" i="95"/>
  <c r="B24" i="95" s="1"/>
  <c r="J20" i="95"/>
  <c r="F20" i="95" s="1"/>
  <c r="C19" i="95"/>
  <c r="C29" i="95"/>
  <c r="B29" i="95" s="1"/>
  <c r="J24" i="95"/>
  <c r="F24" i="95" s="1"/>
  <c r="C24" i="95" s="1"/>
  <c r="C22" i="95"/>
  <c r="C15" i="95"/>
  <c r="J20" i="94"/>
  <c r="F20" i="94" s="1"/>
  <c r="C20" i="94" s="1"/>
  <c r="J30" i="94"/>
  <c r="F30" i="94" s="1"/>
  <c r="C30" i="94"/>
  <c r="C29" i="94"/>
  <c r="B29" i="94" s="1"/>
  <c r="B30" i="94" s="1"/>
  <c r="J24" i="94"/>
  <c r="F24" i="94" s="1"/>
  <c r="C24" i="94" s="1"/>
  <c r="C19" i="94"/>
  <c r="C22" i="94"/>
  <c r="J20" i="93"/>
  <c r="F20" i="93" s="1"/>
  <c r="C19" i="93"/>
  <c r="B25" i="93"/>
  <c r="B24" i="93" s="1"/>
  <c r="B23" i="93" s="1"/>
  <c r="B22" i="93" s="1"/>
  <c r="C20" i="93"/>
  <c r="C22" i="93"/>
  <c r="J19" i="92"/>
  <c r="F19" i="92" s="1"/>
  <c r="C19" i="92" s="1"/>
  <c r="J20" i="92"/>
  <c r="F20" i="92" s="1"/>
  <c r="C24" i="92"/>
  <c r="J30" i="92"/>
  <c r="F30" i="92" s="1"/>
  <c r="C30" i="92"/>
  <c r="B30" i="92" s="1"/>
  <c r="C20" i="92"/>
  <c r="J15" i="92"/>
  <c r="F15" i="92" s="1"/>
  <c r="C15" i="92" s="1"/>
  <c r="C22" i="91"/>
  <c r="C13" i="91"/>
  <c r="C29" i="91"/>
  <c r="B29" i="91" s="1"/>
  <c r="C19" i="91"/>
  <c r="J30" i="91"/>
  <c r="F30" i="91" s="1"/>
  <c r="C30" i="91" s="1"/>
  <c r="J30" i="90"/>
  <c r="F30" i="90" s="1"/>
  <c r="C30" i="90" s="1"/>
  <c r="J15" i="90"/>
  <c r="F15" i="90" s="1"/>
  <c r="C15" i="90" s="1"/>
  <c r="C29" i="90"/>
  <c r="B29" i="90" s="1"/>
  <c r="B30" i="90" s="1"/>
  <c r="J20" i="90"/>
  <c r="F20" i="90" s="1"/>
  <c r="C20" i="90" s="1"/>
  <c r="B19" i="90" s="1"/>
  <c r="B18" i="90" s="1"/>
  <c r="B17" i="90" s="1"/>
  <c r="B16" i="90" s="1"/>
  <c r="B15" i="90" s="1"/>
  <c r="B14" i="90" s="1"/>
  <c r="B13" i="90" s="1"/>
  <c r="B12" i="90" s="1"/>
  <c r="B11" i="90" s="1"/>
  <c r="B10" i="90" s="1"/>
  <c r="B30" i="89"/>
  <c r="C14" i="89"/>
  <c r="B25" i="89"/>
  <c r="B24" i="89" s="1"/>
  <c r="J24" i="89"/>
  <c r="F24" i="89" s="1"/>
  <c r="C24" i="89" s="1"/>
  <c r="J15" i="89"/>
  <c r="F15" i="89" s="1"/>
  <c r="C15" i="89" s="1"/>
  <c r="J20" i="89"/>
  <c r="F20" i="89" s="1"/>
  <c r="C22" i="89"/>
  <c r="C20" i="89"/>
  <c r="C19" i="89"/>
  <c r="C19" i="88"/>
  <c r="C22" i="88"/>
  <c r="J30" i="88"/>
  <c r="F30" i="88" s="1"/>
  <c r="C30" i="88" s="1"/>
  <c r="J15" i="88"/>
  <c r="F15" i="88" s="1"/>
  <c r="C15" i="88" s="1"/>
  <c r="J20" i="88"/>
  <c r="F20" i="88" s="1"/>
  <c r="C20" i="88" s="1"/>
  <c r="C14" i="88"/>
  <c r="C29" i="88"/>
  <c r="B29" i="88" s="1"/>
  <c r="C21" i="87"/>
  <c r="J14" i="87"/>
  <c r="F14" i="87" s="1"/>
  <c r="C14" i="87" s="1"/>
  <c r="J15" i="87"/>
  <c r="F15" i="87" s="1"/>
  <c r="C15" i="87" s="1"/>
  <c r="J20" i="87"/>
  <c r="F20" i="87" s="1"/>
  <c r="J30" i="87"/>
  <c r="F30" i="87" s="1"/>
  <c r="C30" i="87" s="1"/>
  <c r="B30" i="87" s="1"/>
  <c r="C20" i="87"/>
  <c r="C29" i="86"/>
  <c r="B29" i="86" s="1"/>
  <c r="C20" i="86"/>
  <c r="J30" i="86"/>
  <c r="F30" i="86" s="1"/>
  <c r="C30" i="86" s="1"/>
  <c r="C19" i="86"/>
  <c r="J30" i="85"/>
  <c r="F30" i="85" s="1"/>
  <c r="C30" i="85" s="1"/>
  <c r="B30" i="85" s="1"/>
  <c r="B26" i="85"/>
  <c r="B25" i="85" s="1"/>
  <c r="B24" i="85" s="1"/>
  <c r="B23" i="85" s="1"/>
  <c r="B22" i="85" s="1"/>
  <c r="B21" i="85" s="1"/>
  <c r="B20" i="85" s="1"/>
  <c r="J15" i="85"/>
  <c r="F15" i="85" s="1"/>
  <c r="C15" i="85" s="1"/>
  <c r="J14" i="85"/>
  <c r="F14" i="85" s="1"/>
  <c r="C14" i="85" s="1"/>
  <c r="J20" i="85"/>
  <c r="F20" i="85" s="1"/>
  <c r="C20" i="85" s="1"/>
  <c r="C29" i="84"/>
  <c r="B29" i="84" s="1"/>
  <c r="J15" i="84"/>
  <c r="F15" i="84" s="1"/>
  <c r="C15" i="84" s="1"/>
  <c r="C14" i="84"/>
  <c r="C19" i="84"/>
  <c r="J20" i="84"/>
  <c r="F20" i="84" s="1"/>
  <c r="J30" i="84"/>
  <c r="F30" i="84" s="1"/>
  <c r="C30" i="84" s="1"/>
  <c r="C20" i="84"/>
  <c r="C10" i="84"/>
  <c r="J27" i="83"/>
  <c r="F27" i="83" s="1"/>
  <c r="C27" i="83" s="1"/>
  <c r="J18" i="83"/>
  <c r="F18" i="83" s="1"/>
  <c r="C18" i="83" s="1"/>
  <c r="C21" i="83"/>
  <c r="J28" i="83"/>
  <c r="F28" i="83" s="1"/>
  <c r="C28" i="83" s="1"/>
  <c r="B27" i="83" s="1"/>
  <c r="J26" i="50"/>
  <c r="F26" i="50" s="1"/>
  <c r="C26" i="50" s="1"/>
  <c r="C22" i="50"/>
  <c r="C16" i="50"/>
  <c r="C29" i="50"/>
  <c r="B29" i="50" s="1"/>
  <c r="J17" i="50"/>
  <c r="F17" i="50" s="1"/>
  <c r="C17" i="50" s="1"/>
  <c r="J27" i="50"/>
  <c r="F27" i="50" s="1"/>
  <c r="C27" i="50" s="1"/>
  <c r="J20" i="50"/>
  <c r="F20" i="50" s="1"/>
  <c r="C20" i="50" s="1"/>
  <c r="J19" i="50"/>
  <c r="F19" i="50" s="1"/>
  <c r="C19" i="50" s="1"/>
  <c r="C11" i="50"/>
  <c r="C12" i="50"/>
  <c r="C10" i="50"/>
  <c r="C28" i="50"/>
  <c r="B27" i="50" s="1"/>
  <c r="C15" i="50"/>
  <c r="C14" i="50"/>
  <c r="J23" i="50"/>
  <c r="F23" i="50" s="1"/>
  <c r="C23" i="50" s="1"/>
  <c r="J30" i="50"/>
  <c r="F30" i="50" s="1"/>
  <c r="C30" i="50" s="1"/>
  <c r="J13" i="50"/>
  <c r="F13" i="50" s="1"/>
  <c r="C13" i="50" s="1"/>
  <c r="B19" i="100" l="1"/>
  <c r="B18" i="100" s="1"/>
  <c r="B17" i="100" s="1"/>
  <c r="B16" i="100" s="1"/>
  <c r="B15" i="100" s="1"/>
  <c r="B14" i="100" s="1"/>
  <c r="B13" i="100" s="1"/>
  <c r="B12" i="100" s="1"/>
  <c r="B11" i="100" s="1"/>
  <c r="B10" i="100" s="1"/>
  <c r="B30" i="110"/>
  <c r="B23" i="99"/>
  <c r="B22" i="99" s="1"/>
  <c r="B21" i="99" s="1"/>
  <c r="B20" i="99" s="1"/>
  <c r="B23" i="94"/>
  <c r="B22" i="94" s="1"/>
  <c r="B21" i="94" s="1"/>
  <c r="B20" i="94" s="1"/>
  <c r="B19" i="94" s="1"/>
  <c r="B18" i="94" s="1"/>
  <c r="B17" i="94" s="1"/>
  <c r="B16" i="94" s="1"/>
  <c r="B15" i="94" s="1"/>
  <c r="B14" i="94" s="1"/>
  <c r="B13" i="94" s="1"/>
  <c r="B12" i="94" s="1"/>
  <c r="B11" i="94" s="1"/>
  <c r="B10" i="94" s="1"/>
  <c r="B23" i="101"/>
  <c r="B22" i="101" s="1"/>
  <c r="B21" i="101" s="1"/>
  <c r="B20" i="101" s="1"/>
  <c r="B19" i="101" s="1"/>
  <c r="B18" i="101" s="1"/>
  <c r="B17" i="101" s="1"/>
  <c r="B16" i="101" s="1"/>
  <c r="B15" i="101" s="1"/>
  <c r="B14" i="101" s="1"/>
  <c r="B13" i="101" s="1"/>
  <c r="B12" i="101" s="1"/>
  <c r="B11" i="101" s="1"/>
  <c r="B10" i="101" s="1"/>
  <c r="B19" i="106"/>
  <c r="B18" i="106" s="1"/>
  <c r="B17" i="106" s="1"/>
  <c r="B16" i="106" s="1"/>
  <c r="B15" i="106" s="1"/>
  <c r="B14" i="106" s="1"/>
  <c r="B13" i="106" s="1"/>
  <c r="B12" i="106" s="1"/>
  <c r="B11" i="106" s="1"/>
  <c r="B10" i="106" s="1"/>
  <c r="B30" i="102"/>
  <c r="B26" i="96"/>
  <c r="B25" i="96" s="1"/>
  <c r="B24" i="96" s="1"/>
  <c r="B23" i="96" s="1"/>
  <c r="B22" i="96" s="1"/>
  <c r="B21" i="96" s="1"/>
  <c r="B20" i="96" s="1"/>
  <c r="B19" i="96" s="1"/>
  <c r="B18" i="96" s="1"/>
  <c r="B17" i="96" s="1"/>
  <c r="B16" i="96" s="1"/>
  <c r="B15" i="96" s="1"/>
  <c r="B14" i="96" s="1"/>
  <c r="B13" i="96" s="1"/>
  <c r="B12" i="96" s="1"/>
  <c r="B11" i="96" s="1"/>
  <c r="B10" i="96" s="1"/>
  <c r="B30" i="50"/>
  <c r="B30" i="95"/>
  <c r="B24" i="91"/>
  <c r="B23" i="91" s="1"/>
  <c r="B22" i="91" s="1"/>
  <c r="B19" i="107"/>
  <c r="B18" i="107" s="1"/>
  <c r="B17" i="107" s="1"/>
  <c r="B16" i="107" s="1"/>
  <c r="B15" i="107" s="1"/>
  <c r="B14" i="107" s="1"/>
  <c r="B13" i="107" s="1"/>
  <c r="B12" i="107" s="1"/>
  <c r="B11" i="107" s="1"/>
  <c r="B10" i="107" s="1"/>
  <c r="B24" i="105"/>
  <c r="B23" i="105" s="1"/>
  <c r="B22" i="105" s="1"/>
  <c r="B21" i="105" s="1"/>
  <c r="B20" i="105" s="1"/>
  <c r="B19" i="105" s="1"/>
  <c r="B18" i="105" s="1"/>
  <c r="B17" i="105" s="1"/>
  <c r="B16" i="105" s="1"/>
  <c r="B15" i="105" s="1"/>
  <c r="B14" i="105" s="1"/>
  <c r="B13" i="105" s="1"/>
  <c r="B12" i="105" s="1"/>
  <c r="B11" i="105" s="1"/>
  <c r="B10" i="105" s="1"/>
  <c r="B20" i="108"/>
  <c r="B26" i="84"/>
  <c r="B25" i="84" s="1"/>
  <c r="B24" i="84" s="1"/>
  <c r="B23" i="84" s="1"/>
  <c r="B22" i="84" s="1"/>
  <c r="B21" i="84" s="1"/>
  <c r="B20" i="84" s="1"/>
  <c r="B19" i="84"/>
  <c r="B18" i="84" s="1"/>
  <c r="B17" i="84" s="1"/>
  <c r="B16" i="84" s="1"/>
  <c r="B15" i="84" s="1"/>
  <c r="B14" i="84" s="1"/>
  <c r="B13" i="84" s="1"/>
  <c r="B12" i="84" s="1"/>
  <c r="B11" i="84" s="1"/>
  <c r="B10" i="84" s="1"/>
  <c r="B19" i="98"/>
  <c r="B18" i="98" s="1"/>
  <c r="B17" i="98" s="1"/>
  <c r="B16" i="98" s="1"/>
  <c r="B15" i="98" s="1"/>
  <c r="B14" i="98" s="1"/>
  <c r="B13" i="98" s="1"/>
  <c r="B12" i="98" s="1"/>
  <c r="B11" i="98" s="1"/>
  <c r="B10" i="98" s="1"/>
  <c r="B24" i="104"/>
  <c r="B23" i="104" s="1"/>
  <c r="B22" i="104" s="1"/>
  <c r="B21" i="104" s="1"/>
  <c r="B20" i="104" s="1"/>
  <c r="B25" i="92"/>
  <c r="B24" i="92" s="1"/>
  <c r="B23" i="92" s="1"/>
  <c r="B22" i="92" s="1"/>
  <c r="B21" i="92" s="1"/>
  <c r="B20" i="92" s="1"/>
  <c r="B19" i="92" s="1"/>
  <c r="B18" i="92" s="1"/>
  <c r="B17" i="92" s="1"/>
  <c r="B16" i="92" s="1"/>
  <c r="B15" i="92" s="1"/>
  <c r="B14" i="92" s="1"/>
  <c r="B13" i="92" s="1"/>
  <c r="B12" i="92" s="1"/>
  <c r="B11" i="92" s="1"/>
  <c r="B10" i="92" s="1"/>
  <c r="B30" i="99"/>
  <c r="B26" i="83"/>
  <c r="B25" i="83" s="1"/>
  <c r="B24" i="83" s="1"/>
  <c r="B23" i="83" s="1"/>
  <c r="B22" i="83" s="1"/>
  <c r="B21" i="83" s="1"/>
  <c r="B20" i="83" s="1"/>
  <c r="B19" i="83" s="1"/>
  <c r="B18" i="83" s="1"/>
  <c r="B17" i="83" s="1"/>
  <c r="B16" i="83" s="1"/>
  <c r="B15" i="83" s="1"/>
  <c r="B14" i="83" s="1"/>
  <c r="B13" i="83" s="1"/>
  <c r="B12" i="83" s="1"/>
  <c r="B11" i="83" s="1"/>
  <c r="B10" i="83" s="1"/>
  <c r="B20" i="87"/>
  <c r="B19" i="87" s="1"/>
  <c r="B18" i="87" s="1"/>
  <c r="B17" i="87" s="1"/>
  <c r="B16" i="87" s="1"/>
  <c r="B15" i="87" s="1"/>
  <c r="B25" i="97"/>
  <c r="B24" i="97" s="1"/>
  <c r="B23" i="97" s="1"/>
  <c r="B22" i="97" s="1"/>
  <c r="B30" i="103"/>
  <c r="B23" i="111"/>
  <c r="B22" i="111" s="1"/>
  <c r="B21" i="111" s="1"/>
  <c r="B20" i="111" s="1"/>
  <c r="B19" i="111" s="1"/>
  <c r="B18" i="111" s="1"/>
  <c r="B17" i="111" s="1"/>
  <c r="B16" i="111" s="1"/>
  <c r="B15" i="111" s="1"/>
  <c r="B14" i="111" s="1"/>
  <c r="B13" i="111" s="1"/>
  <c r="B12" i="111" s="1"/>
  <c r="B11" i="111" s="1"/>
  <c r="B10" i="111" s="1"/>
  <c r="B30" i="111"/>
  <c r="B14" i="110"/>
  <c r="B13" i="110" s="1"/>
  <c r="B12" i="110" s="1"/>
  <c r="B11" i="110" s="1"/>
  <c r="B10" i="110" s="1"/>
  <c r="B23" i="109"/>
  <c r="B22" i="109" s="1"/>
  <c r="B21" i="109" s="1"/>
  <c r="B20" i="109" s="1"/>
  <c r="B19" i="109" s="1"/>
  <c r="B18" i="109" s="1"/>
  <c r="B17" i="109" s="1"/>
  <c r="B16" i="109" s="1"/>
  <c r="B15" i="109" s="1"/>
  <c r="B14" i="109" s="1"/>
  <c r="B13" i="109" s="1"/>
  <c r="B12" i="109" s="1"/>
  <c r="B11" i="109" s="1"/>
  <c r="B10" i="109" s="1"/>
  <c r="B19" i="108"/>
  <c r="B18" i="108" s="1"/>
  <c r="B17" i="108" s="1"/>
  <c r="B16" i="108" s="1"/>
  <c r="B15" i="108" s="1"/>
  <c r="B14" i="108" s="1"/>
  <c r="B13" i="108" s="1"/>
  <c r="B12" i="108" s="1"/>
  <c r="B11" i="108" s="1"/>
  <c r="B10" i="108" s="1"/>
  <c r="B30" i="107"/>
  <c r="B30" i="104"/>
  <c r="B19" i="104"/>
  <c r="B18" i="104" s="1"/>
  <c r="B17" i="104" s="1"/>
  <c r="B16" i="104" s="1"/>
  <c r="B15" i="104" s="1"/>
  <c r="B14" i="104" s="1"/>
  <c r="B13" i="104" s="1"/>
  <c r="B12" i="104" s="1"/>
  <c r="B11" i="104" s="1"/>
  <c r="B10" i="104" s="1"/>
  <c r="B21" i="103"/>
  <c r="B20" i="103" s="1"/>
  <c r="B19" i="103" s="1"/>
  <c r="B18" i="103" s="1"/>
  <c r="B17" i="103" s="1"/>
  <c r="B16" i="103" s="1"/>
  <c r="B15" i="103" s="1"/>
  <c r="B14" i="103" s="1"/>
  <c r="B13" i="103" s="1"/>
  <c r="B12" i="103" s="1"/>
  <c r="B11" i="103" s="1"/>
  <c r="B10" i="103" s="1"/>
  <c r="B23" i="102"/>
  <c r="B22" i="102" s="1"/>
  <c r="B21" i="102" s="1"/>
  <c r="B20" i="102" s="1"/>
  <c r="B19" i="102" s="1"/>
  <c r="B18" i="102" s="1"/>
  <c r="B17" i="102" s="1"/>
  <c r="B16" i="102" s="1"/>
  <c r="B15" i="102" s="1"/>
  <c r="B14" i="102" s="1"/>
  <c r="B13" i="102" s="1"/>
  <c r="B12" i="102" s="1"/>
  <c r="B11" i="102" s="1"/>
  <c r="B10" i="102" s="1"/>
  <c r="B19" i="99"/>
  <c r="B18" i="99" s="1"/>
  <c r="B17" i="99" s="1"/>
  <c r="B16" i="99" s="1"/>
  <c r="B15" i="99" s="1"/>
  <c r="B14" i="99" s="1"/>
  <c r="B13" i="99" s="1"/>
  <c r="B12" i="99" s="1"/>
  <c r="B11" i="99" s="1"/>
  <c r="B10" i="99" s="1"/>
  <c r="B21" i="97"/>
  <c r="B20" i="97" s="1"/>
  <c r="B19" i="97" s="1"/>
  <c r="B18" i="97" s="1"/>
  <c r="B17" i="97" s="1"/>
  <c r="B16" i="97" s="1"/>
  <c r="B15" i="97" s="1"/>
  <c r="B14" i="97" s="1"/>
  <c r="B13" i="97" s="1"/>
  <c r="B12" i="97" s="1"/>
  <c r="B11" i="97" s="1"/>
  <c r="B10" i="97" s="1"/>
  <c r="B23" i="95"/>
  <c r="B22" i="95" s="1"/>
  <c r="B21" i="95" s="1"/>
  <c r="B20" i="95" s="1"/>
  <c r="B19" i="95" s="1"/>
  <c r="B18" i="95" s="1"/>
  <c r="B17" i="95" s="1"/>
  <c r="B16" i="95" s="1"/>
  <c r="B15" i="95" s="1"/>
  <c r="B14" i="95" s="1"/>
  <c r="B13" i="95" s="1"/>
  <c r="B12" i="95" s="1"/>
  <c r="B11" i="95" s="1"/>
  <c r="B10" i="95" s="1"/>
  <c r="B21" i="93"/>
  <c r="B20" i="93" s="1"/>
  <c r="B19" i="93" s="1"/>
  <c r="B18" i="93" s="1"/>
  <c r="B17" i="93" s="1"/>
  <c r="B16" i="93" s="1"/>
  <c r="B15" i="93" s="1"/>
  <c r="B14" i="93" s="1"/>
  <c r="B13" i="93" s="1"/>
  <c r="B12" i="93" s="1"/>
  <c r="B11" i="93" s="1"/>
  <c r="B10" i="93" s="1"/>
  <c r="B30" i="91"/>
  <c r="B21" i="91"/>
  <c r="B20" i="91" s="1"/>
  <c r="B19" i="91" s="1"/>
  <c r="B18" i="91" s="1"/>
  <c r="B17" i="91" s="1"/>
  <c r="B16" i="91" s="1"/>
  <c r="B15" i="91" s="1"/>
  <c r="B14" i="91" s="1"/>
  <c r="B13" i="91" s="1"/>
  <c r="B12" i="91" s="1"/>
  <c r="B11" i="91" s="1"/>
  <c r="B10" i="91" s="1"/>
  <c r="B23" i="89"/>
  <c r="B22" i="89" s="1"/>
  <c r="B21" i="89" s="1"/>
  <c r="B20" i="89" s="1"/>
  <c r="B19" i="89" s="1"/>
  <c r="B18" i="89" s="1"/>
  <c r="B17" i="89" s="1"/>
  <c r="B16" i="89" s="1"/>
  <c r="B15" i="89" s="1"/>
  <c r="B14" i="89" s="1"/>
  <c r="B13" i="89" s="1"/>
  <c r="B12" i="89" s="1"/>
  <c r="B11" i="89" s="1"/>
  <c r="B10" i="89" s="1"/>
  <c r="B30" i="88"/>
  <c r="B21" i="88"/>
  <c r="B20" i="88" s="1"/>
  <c r="B19" i="88" s="1"/>
  <c r="B18" i="88" s="1"/>
  <c r="B17" i="88" s="1"/>
  <c r="B16" i="88" s="1"/>
  <c r="B15" i="88" s="1"/>
  <c r="B14" i="88" s="1"/>
  <c r="B13" i="88" s="1"/>
  <c r="B12" i="88" s="1"/>
  <c r="B11" i="88" s="1"/>
  <c r="B10" i="88" s="1"/>
  <c r="B14" i="87"/>
  <c r="B13" i="87" s="1"/>
  <c r="B12" i="87" s="1"/>
  <c r="B11" i="87" s="1"/>
  <c r="B10" i="87" s="1"/>
  <c r="B19" i="86"/>
  <c r="B18" i="86" s="1"/>
  <c r="B17" i="86" s="1"/>
  <c r="B16" i="86" s="1"/>
  <c r="B15" i="86" s="1"/>
  <c r="B14" i="86" s="1"/>
  <c r="B13" i="86" s="1"/>
  <c r="B12" i="86" s="1"/>
  <c r="B11" i="86" s="1"/>
  <c r="B10" i="86" s="1"/>
  <c r="B30" i="86"/>
  <c r="B19" i="85"/>
  <c r="B18" i="85" s="1"/>
  <c r="B17" i="85" s="1"/>
  <c r="B16" i="85" s="1"/>
  <c r="B15" i="85" s="1"/>
  <c r="B14" i="85" s="1"/>
  <c r="B13" i="85" s="1"/>
  <c r="B12" i="85" s="1"/>
  <c r="B11" i="85" s="1"/>
  <c r="B10" i="85" s="1"/>
  <c r="B30" i="84"/>
  <c r="B26" i="50"/>
  <c r="B25" i="50" s="1"/>
  <c r="B24" i="50" s="1"/>
  <c r="B23" i="50" s="1"/>
  <c r="B22" i="50" s="1"/>
  <c r="B21" i="50" s="1"/>
  <c r="B20" i="50" s="1"/>
  <c r="B19" i="50" s="1"/>
  <c r="B18" i="50" s="1"/>
  <c r="B17" i="50" s="1"/>
  <c r="B16" i="50" s="1"/>
  <c r="B15" i="50" s="1"/>
  <c r="B14" i="50" s="1"/>
  <c r="B13" i="50" s="1"/>
  <c r="B12" i="50" s="1"/>
  <c r="B11" i="50" s="1"/>
  <c r="B10"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FD539EC4-FE5E-45E7-8D7F-5E622102C43E}">
      <text>
        <r>
          <rPr>
            <sz val="9"/>
            <color indexed="81"/>
            <rFont val="Tahoma"/>
            <family val="2"/>
          </rPr>
          <t xml:space="preserve">
Not apllicable for the first year</t>
        </r>
      </text>
    </comment>
    <comment ref="C9" authorId="0" shapeId="0" xr:uid="{CD0D8C0E-EBC4-439C-8F57-27FB3AD3600A}">
      <text>
        <r>
          <rPr>
            <sz val="9"/>
            <color indexed="81"/>
            <rFont val="Tahoma"/>
            <family val="2"/>
          </rPr>
          <t xml:space="preserve">
Not apllicable for the first year</t>
        </r>
      </text>
    </comment>
    <comment ref="D9" authorId="0" shapeId="0" xr:uid="{4B44923F-455E-4728-8A13-21F59B307363}">
      <text>
        <r>
          <rPr>
            <sz val="9"/>
            <color indexed="81"/>
            <rFont val="Tahoma"/>
            <family val="2"/>
          </rPr>
          <t xml:space="preserve">
Not apllicable for the first year</t>
        </r>
      </text>
    </comment>
    <comment ref="E9" authorId="0" shapeId="0" xr:uid="{3B7246DD-F51E-4810-9972-BB72AD259630}">
      <text>
        <r>
          <rPr>
            <sz val="9"/>
            <color indexed="81"/>
            <rFont val="Tahoma"/>
            <family val="2"/>
          </rPr>
          <t xml:space="preserve">
Not apllicable for the first year</t>
        </r>
      </text>
    </comment>
    <comment ref="F9" authorId="0" shapeId="0" xr:uid="{C4F2FD1A-E856-46EE-B9CC-76115ED97043}">
      <text>
        <r>
          <rPr>
            <sz val="9"/>
            <color indexed="81"/>
            <rFont val="Tahoma"/>
            <family val="2"/>
          </rPr>
          <t xml:space="preserve">
Not apllicable for the first year</t>
        </r>
      </text>
    </comment>
    <comment ref="G9" authorId="0" shapeId="0" xr:uid="{A1F6931D-3695-4D6C-80C6-2D68A9084F24}">
      <text>
        <r>
          <rPr>
            <sz val="9"/>
            <color indexed="81"/>
            <rFont val="Tahoma"/>
            <family val="2"/>
          </rPr>
          <t xml:space="preserve">
Not apllicable for the first year</t>
        </r>
      </text>
    </comment>
    <comment ref="H9" authorId="0" shapeId="0" xr:uid="{58DD7BD5-5AC2-4DDF-BCBE-64E9B4291BC3}">
      <text>
        <r>
          <rPr>
            <sz val="9"/>
            <color indexed="81"/>
            <rFont val="Tahoma"/>
            <family val="2"/>
          </rPr>
          <t xml:space="preserve">
Not apllicable for the first year</t>
        </r>
      </text>
    </comment>
    <comment ref="I9" authorId="0" shapeId="0" xr:uid="{2C97AD1C-5154-4C79-9E47-7A8620973DD6}">
      <text>
        <r>
          <rPr>
            <sz val="9"/>
            <color indexed="81"/>
            <rFont val="Tahoma"/>
            <family val="2"/>
          </rPr>
          <t xml:space="preserve">
Not apllicable for the first year</t>
        </r>
      </text>
    </comment>
    <comment ref="J9" authorId="0" shapeId="0" xr:uid="{7433A7F7-A6CC-4729-92DE-9EFB1CB99D1A}">
      <text>
        <r>
          <rPr>
            <sz val="9"/>
            <color indexed="81"/>
            <rFont val="Tahoma"/>
            <family val="2"/>
          </rPr>
          <t xml:space="preserve">
Not apllicable for the first year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D08A7007-3C11-4D43-A305-5751F6D14508}">
      <text>
        <r>
          <rPr>
            <sz val="9"/>
            <color indexed="81"/>
            <rFont val="Tahoma"/>
            <family val="2"/>
          </rPr>
          <t xml:space="preserve">
Not apllicable for the first year</t>
        </r>
      </text>
    </comment>
    <comment ref="C9" authorId="0" shapeId="0" xr:uid="{A65FE0F4-F8E6-4812-AE3F-98AC533F2A58}">
      <text>
        <r>
          <rPr>
            <sz val="9"/>
            <color indexed="81"/>
            <rFont val="Tahoma"/>
            <family val="2"/>
          </rPr>
          <t xml:space="preserve">
Not apllicable for the first year</t>
        </r>
      </text>
    </comment>
    <comment ref="D9" authorId="0" shapeId="0" xr:uid="{616EFE4D-A65C-4733-B361-745A932B47D1}">
      <text>
        <r>
          <rPr>
            <sz val="9"/>
            <color indexed="81"/>
            <rFont val="Tahoma"/>
            <family val="2"/>
          </rPr>
          <t xml:space="preserve">
Not apllicable for the first year</t>
        </r>
      </text>
    </comment>
    <comment ref="E9" authorId="0" shapeId="0" xr:uid="{4648C6AE-608F-4F0A-B17C-A5209D77A765}">
      <text>
        <r>
          <rPr>
            <sz val="9"/>
            <color indexed="81"/>
            <rFont val="Tahoma"/>
            <family val="2"/>
          </rPr>
          <t xml:space="preserve">
Not apllicable for the first year</t>
        </r>
      </text>
    </comment>
    <comment ref="F9" authorId="0" shapeId="0" xr:uid="{ACFA6510-6C7A-4FC2-8FC0-5DC34E62725A}">
      <text>
        <r>
          <rPr>
            <sz val="9"/>
            <color indexed="81"/>
            <rFont val="Tahoma"/>
            <family val="2"/>
          </rPr>
          <t xml:space="preserve">
Not apllicable for the first year</t>
        </r>
      </text>
    </comment>
    <comment ref="G9" authorId="0" shapeId="0" xr:uid="{9D77FFE9-BDA1-4BDF-960B-0378EC26D6C9}">
      <text>
        <r>
          <rPr>
            <sz val="9"/>
            <color indexed="81"/>
            <rFont val="Tahoma"/>
            <family val="2"/>
          </rPr>
          <t xml:space="preserve">
Not apllicable for the first year</t>
        </r>
      </text>
    </comment>
    <comment ref="H9" authorId="0" shapeId="0" xr:uid="{A034ED23-97E9-4818-9FE6-EE6915294C80}">
      <text>
        <r>
          <rPr>
            <sz val="9"/>
            <color indexed="81"/>
            <rFont val="Tahoma"/>
            <family val="2"/>
          </rPr>
          <t xml:space="preserve">
Not apllicable for the first year</t>
        </r>
      </text>
    </comment>
    <comment ref="I9" authorId="0" shapeId="0" xr:uid="{8B8C09EF-C177-4A74-83DC-95FE2399CBA8}">
      <text>
        <r>
          <rPr>
            <sz val="9"/>
            <color indexed="81"/>
            <rFont val="Tahoma"/>
            <family val="2"/>
          </rPr>
          <t xml:space="preserve">
Not apllicable for the first year</t>
        </r>
      </text>
    </comment>
    <comment ref="J9" authorId="0" shapeId="0" xr:uid="{B487DF5B-AA1F-43B8-8339-0F1465323975}">
      <text>
        <r>
          <rPr>
            <sz val="9"/>
            <color indexed="81"/>
            <rFont val="Tahoma"/>
            <family val="2"/>
          </rPr>
          <t xml:space="preserve">
Not apllicable for the first year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113289DF-3006-411E-9C67-BA6A45A92CAB}">
      <text>
        <r>
          <rPr>
            <sz val="9"/>
            <color indexed="81"/>
            <rFont val="Tahoma"/>
            <family val="2"/>
          </rPr>
          <t xml:space="preserve">
Not apllicable for the first year</t>
        </r>
      </text>
    </comment>
    <comment ref="C9" authorId="0" shapeId="0" xr:uid="{CFF9B189-9AD3-4069-BBC8-AAE281BBEA4F}">
      <text>
        <r>
          <rPr>
            <sz val="9"/>
            <color indexed="81"/>
            <rFont val="Tahoma"/>
            <family val="2"/>
          </rPr>
          <t xml:space="preserve">
Not apllicable for the first year</t>
        </r>
      </text>
    </comment>
    <comment ref="D9" authorId="0" shapeId="0" xr:uid="{1697D58D-1529-4CB2-9BEF-F788C4FA8AC0}">
      <text>
        <r>
          <rPr>
            <sz val="9"/>
            <color indexed="81"/>
            <rFont val="Tahoma"/>
            <family val="2"/>
          </rPr>
          <t xml:space="preserve">
Not apllicable for the first year</t>
        </r>
      </text>
    </comment>
    <comment ref="E9" authorId="0" shapeId="0" xr:uid="{3661ABDA-D876-4245-830F-AD7D86644799}">
      <text>
        <r>
          <rPr>
            <sz val="9"/>
            <color indexed="81"/>
            <rFont val="Tahoma"/>
            <family val="2"/>
          </rPr>
          <t xml:space="preserve">
Not apllicable for the first year</t>
        </r>
      </text>
    </comment>
    <comment ref="F9" authorId="0" shapeId="0" xr:uid="{D09286C1-7D80-417D-9E97-BF959DB998F6}">
      <text>
        <r>
          <rPr>
            <sz val="9"/>
            <color indexed="81"/>
            <rFont val="Tahoma"/>
            <family val="2"/>
          </rPr>
          <t xml:space="preserve">
Not apllicable for the first year</t>
        </r>
      </text>
    </comment>
    <comment ref="G9" authorId="0" shapeId="0" xr:uid="{FDBC0D93-68D1-48C8-A2E8-D0AE44D4BAFE}">
      <text>
        <r>
          <rPr>
            <sz val="9"/>
            <color indexed="81"/>
            <rFont val="Tahoma"/>
            <family val="2"/>
          </rPr>
          <t xml:space="preserve">
Not apllicable for the first year</t>
        </r>
      </text>
    </comment>
    <comment ref="H9" authorId="0" shapeId="0" xr:uid="{2BB99D67-CD7B-461A-A682-5C945EFB525A}">
      <text>
        <r>
          <rPr>
            <sz val="9"/>
            <color indexed="81"/>
            <rFont val="Tahoma"/>
            <family val="2"/>
          </rPr>
          <t xml:space="preserve">
Not apllicable for the first year</t>
        </r>
      </text>
    </comment>
    <comment ref="I9" authorId="0" shapeId="0" xr:uid="{260F730E-3797-4904-8773-49159BFB5950}">
      <text>
        <r>
          <rPr>
            <sz val="9"/>
            <color indexed="81"/>
            <rFont val="Tahoma"/>
            <family val="2"/>
          </rPr>
          <t xml:space="preserve">
Not apllicable for the first year</t>
        </r>
      </text>
    </comment>
    <comment ref="J9" authorId="0" shapeId="0" xr:uid="{AEA34BF5-BD76-4EA2-9337-F8AE5235B67C}">
      <text>
        <r>
          <rPr>
            <sz val="9"/>
            <color indexed="81"/>
            <rFont val="Tahoma"/>
            <family val="2"/>
          </rPr>
          <t xml:space="preserve">
Not apllicable for the first 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D9756F1D-5B1B-4E68-8E4A-7D241E6D0683}">
      <text>
        <r>
          <rPr>
            <sz val="9"/>
            <color indexed="81"/>
            <rFont val="Tahoma"/>
            <family val="2"/>
          </rPr>
          <t xml:space="preserve">
Not apllicable for the first year</t>
        </r>
      </text>
    </comment>
    <comment ref="C9" authorId="0" shapeId="0" xr:uid="{E4A79C70-DA4F-4F07-9F04-30E05F05CBA8}">
      <text>
        <r>
          <rPr>
            <sz val="9"/>
            <color indexed="81"/>
            <rFont val="Tahoma"/>
            <family val="2"/>
          </rPr>
          <t xml:space="preserve">
Not apllicable for the first year</t>
        </r>
      </text>
    </comment>
    <comment ref="D9" authorId="0" shapeId="0" xr:uid="{828ED91B-0A21-4EDE-8AAE-1107674407B1}">
      <text>
        <r>
          <rPr>
            <sz val="9"/>
            <color indexed="81"/>
            <rFont val="Tahoma"/>
            <family val="2"/>
          </rPr>
          <t xml:space="preserve">
Not apllicable for the first year</t>
        </r>
      </text>
    </comment>
    <comment ref="E9" authorId="0" shapeId="0" xr:uid="{A3F8D8A5-210D-4DDB-B9C6-299B27353286}">
      <text>
        <r>
          <rPr>
            <sz val="9"/>
            <color indexed="81"/>
            <rFont val="Tahoma"/>
            <family val="2"/>
          </rPr>
          <t xml:space="preserve">
Not apllicable for the first year</t>
        </r>
      </text>
    </comment>
    <comment ref="F9" authorId="0" shapeId="0" xr:uid="{7CE14B77-B91D-40F2-9B82-C7882FC7A6A5}">
      <text>
        <r>
          <rPr>
            <sz val="9"/>
            <color indexed="81"/>
            <rFont val="Tahoma"/>
            <family val="2"/>
          </rPr>
          <t xml:space="preserve">
Not apllicable for the first year</t>
        </r>
      </text>
    </comment>
    <comment ref="G9" authorId="0" shapeId="0" xr:uid="{BE62F282-1718-4ECC-A0D1-C861EE170796}">
      <text>
        <r>
          <rPr>
            <sz val="9"/>
            <color indexed="81"/>
            <rFont val="Tahoma"/>
            <family val="2"/>
          </rPr>
          <t xml:space="preserve">
Not apllicable for the first year</t>
        </r>
      </text>
    </comment>
    <comment ref="H9" authorId="0" shapeId="0" xr:uid="{FF7FA510-70A8-495D-956D-E0455BFFE775}">
      <text>
        <r>
          <rPr>
            <sz val="9"/>
            <color indexed="81"/>
            <rFont val="Tahoma"/>
            <family val="2"/>
          </rPr>
          <t xml:space="preserve">
Not apllicable for the first year</t>
        </r>
      </text>
    </comment>
    <comment ref="I9" authorId="0" shapeId="0" xr:uid="{CB7E8907-D244-4305-B587-C8E8E068D0F8}">
      <text>
        <r>
          <rPr>
            <sz val="9"/>
            <color indexed="81"/>
            <rFont val="Tahoma"/>
            <family val="2"/>
          </rPr>
          <t xml:space="preserve">
Not apllicable for the first year</t>
        </r>
      </text>
    </comment>
    <comment ref="J9" authorId="0" shapeId="0" xr:uid="{FA73FB13-B42B-4775-8095-23B23B5BB685}">
      <text>
        <r>
          <rPr>
            <sz val="9"/>
            <color indexed="81"/>
            <rFont val="Tahoma"/>
            <family val="2"/>
          </rPr>
          <t xml:space="preserve">
Not apllicable for the first year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CC459D37-058C-4DD8-A875-257B485AE0D8}">
      <text>
        <r>
          <rPr>
            <sz val="9"/>
            <color indexed="81"/>
            <rFont val="Tahoma"/>
            <family val="2"/>
          </rPr>
          <t xml:space="preserve">
Not apllicable for the first year</t>
        </r>
      </text>
    </comment>
    <comment ref="C9" authorId="0" shapeId="0" xr:uid="{F24E03A2-56F0-448C-943F-003B73BD225B}">
      <text>
        <r>
          <rPr>
            <sz val="9"/>
            <color indexed="81"/>
            <rFont val="Tahoma"/>
            <family val="2"/>
          </rPr>
          <t xml:space="preserve">
Not apllicable for the first year</t>
        </r>
      </text>
    </comment>
    <comment ref="D9" authorId="0" shapeId="0" xr:uid="{939A9A7E-2240-4B77-841A-1CF3478B64B8}">
      <text>
        <r>
          <rPr>
            <sz val="9"/>
            <color indexed="81"/>
            <rFont val="Tahoma"/>
            <family val="2"/>
          </rPr>
          <t xml:space="preserve">
Not apllicable for the first year</t>
        </r>
      </text>
    </comment>
    <comment ref="E9" authorId="0" shapeId="0" xr:uid="{3E7444BC-9B43-429D-A933-2404792E7713}">
      <text>
        <r>
          <rPr>
            <sz val="9"/>
            <color indexed="81"/>
            <rFont val="Tahoma"/>
            <family val="2"/>
          </rPr>
          <t xml:space="preserve">
Not apllicable for the first year</t>
        </r>
      </text>
    </comment>
    <comment ref="F9" authorId="0" shapeId="0" xr:uid="{EAD8317D-B050-4938-9798-D683497BCDEE}">
      <text>
        <r>
          <rPr>
            <sz val="9"/>
            <color indexed="81"/>
            <rFont val="Tahoma"/>
            <family val="2"/>
          </rPr>
          <t xml:space="preserve">
Not apllicable for the first year</t>
        </r>
      </text>
    </comment>
    <comment ref="G9" authorId="0" shapeId="0" xr:uid="{944D1503-8392-4188-AD18-98CBFBD29540}">
      <text>
        <r>
          <rPr>
            <sz val="9"/>
            <color indexed="81"/>
            <rFont val="Tahoma"/>
            <family val="2"/>
          </rPr>
          <t xml:space="preserve">
Not apllicable for the first year</t>
        </r>
      </text>
    </comment>
    <comment ref="H9" authorId="0" shapeId="0" xr:uid="{447E4788-F389-4F2C-A10D-EFE5DDA51935}">
      <text>
        <r>
          <rPr>
            <sz val="9"/>
            <color indexed="81"/>
            <rFont val="Tahoma"/>
            <family val="2"/>
          </rPr>
          <t xml:space="preserve">
Not apllicable for the first year</t>
        </r>
      </text>
    </comment>
    <comment ref="I9" authorId="0" shapeId="0" xr:uid="{71DB16C2-91F7-4460-AAA8-337933B10722}">
      <text>
        <r>
          <rPr>
            <sz val="9"/>
            <color indexed="81"/>
            <rFont val="Tahoma"/>
            <family val="2"/>
          </rPr>
          <t xml:space="preserve">
Not apllicable for the first year</t>
        </r>
      </text>
    </comment>
    <comment ref="J9" authorId="0" shapeId="0" xr:uid="{FC372E95-D6E9-4C67-8986-765949CB1EB0}">
      <text>
        <r>
          <rPr>
            <sz val="9"/>
            <color indexed="81"/>
            <rFont val="Tahoma"/>
            <family val="2"/>
          </rPr>
          <t xml:space="preserve">
Not apllicable for the first year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CB3A8574-BFCA-4D10-849D-065A6D6E7584}">
      <text>
        <r>
          <rPr>
            <sz val="9"/>
            <color indexed="81"/>
            <rFont val="Tahoma"/>
            <family val="2"/>
          </rPr>
          <t xml:space="preserve">
Not apllicable for the first year</t>
        </r>
      </text>
    </comment>
    <comment ref="C9" authorId="0" shapeId="0" xr:uid="{C8B141AC-7B31-4532-B3A5-272855BC4270}">
      <text>
        <r>
          <rPr>
            <sz val="9"/>
            <color indexed="81"/>
            <rFont val="Tahoma"/>
            <family val="2"/>
          </rPr>
          <t xml:space="preserve">
Not apllicable for the first year</t>
        </r>
      </text>
    </comment>
    <comment ref="D9" authorId="0" shapeId="0" xr:uid="{2F59A2FE-17E5-4874-92DC-1C0843CDE5ED}">
      <text>
        <r>
          <rPr>
            <sz val="9"/>
            <color indexed="81"/>
            <rFont val="Tahoma"/>
            <family val="2"/>
          </rPr>
          <t xml:space="preserve">
Not apllicable for the first year</t>
        </r>
      </text>
    </comment>
    <comment ref="E9" authorId="0" shapeId="0" xr:uid="{60C4708E-52EA-4B40-9D5A-E62E164AE065}">
      <text>
        <r>
          <rPr>
            <sz val="9"/>
            <color indexed="81"/>
            <rFont val="Tahoma"/>
            <family val="2"/>
          </rPr>
          <t xml:space="preserve">
Not apllicable for the first year</t>
        </r>
      </text>
    </comment>
    <comment ref="F9" authorId="0" shapeId="0" xr:uid="{199046BF-8470-4170-804B-0CD4CD3016C0}">
      <text>
        <r>
          <rPr>
            <sz val="9"/>
            <color indexed="81"/>
            <rFont val="Tahoma"/>
            <family val="2"/>
          </rPr>
          <t xml:space="preserve">
Not apllicable for the first year</t>
        </r>
      </text>
    </comment>
    <comment ref="G9" authorId="0" shapeId="0" xr:uid="{ABA24A7F-861E-42F2-832D-B02F2D5B4CB7}">
      <text>
        <r>
          <rPr>
            <sz val="9"/>
            <color indexed="81"/>
            <rFont val="Tahoma"/>
            <family val="2"/>
          </rPr>
          <t xml:space="preserve">
Not apllicable for the first year</t>
        </r>
      </text>
    </comment>
    <comment ref="H9" authorId="0" shapeId="0" xr:uid="{80BF5038-989B-41BD-AD7C-84C7BF4A44F4}">
      <text>
        <r>
          <rPr>
            <sz val="9"/>
            <color indexed="81"/>
            <rFont val="Tahoma"/>
            <family val="2"/>
          </rPr>
          <t xml:space="preserve">
Not apllicable for the first year</t>
        </r>
      </text>
    </comment>
    <comment ref="I9" authorId="0" shapeId="0" xr:uid="{DA56CA4C-EEB4-4FF8-88A6-78BAB552ECEF}">
      <text>
        <r>
          <rPr>
            <sz val="9"/>
            <color indexed="81"/>
            <rFont val="Tahoma"/>
            <family val="2"/>
          </rPr>
          <t xml:space="preserve">
Not apllicable for the first year</t>
        </r>
      </text>
    </comment>
    <comment ref="J9" authorId="0" shapeId="0" xr:uid="{4816D74E-7383-43F9-B999-E1E3C6220F4E}">
      <text>
        <r>
          <rPr>
            <sz val="9"/>
            <color indexed="81"/>
            <rFont val="Tahoma"/>
            <family val="2"/>
          </rPr>
          <t xml:space="preserve">
Not apllicable for the first year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6A7BE65A-71D4-409F-B6D4-D0AF8F1F4901}">
      <text>
        <r>
          <rPr>
            <sz val="9"/>
            <color indexed="81"/>
            <rFont val="Tahoma"/>
            <family val="2"/>
          </rPr>
          <t xml:space="preserve">
Not apllicable for the first year</t>
        </r>
      </text>
    </comment>
    <comment ref="C9" authorId="0" shapeId="0" xr:uid="{249ABF0D-B5FA-4F32-A544-CF193E19BA38}">
      <text>
        <r>
          <rPr>
            <sz val="9"/>
            <color indexed="81"/>
            <rFont val="Tahoma"/>
            <family val="2"/>
          </rPr>
          <t xml:space="preserve">
Not apllicable for the first year</t>
        </r>
      </text>
    </comment>
    <comment ref="D9" authorId="0" shapeId="0" xr:uid="{D41EF606-C8FB-414C-8B18-A2870CBD6CBC}">
      <text>
        <r>
          <rPr>
            <sz val="9"/>
            <color indexed="81"/>
            <rFont val="Tahoma"/>
            <family val="2"/>
          </rPr>
          <t xml:space="preserve">
Not apllicable for the first year</t>
        </r>
      </text>
    </comment>
    <comment ref="E9" authorId="0" shapeId="0" xr:uid="{729D9D21-2DA7-4B85-8B04-0FC78E48A95C}">
      <text>
        <r>
          <rPr>
            <sz val="9"/>
            <color indexed="81"/>
            <rFont val="Tahoma"/>
            <family val="2"/>
          </rPr>
          <t xml:space="preserve">
Not apllicable for the first year</t>
        </r>
      </text>
    </comment>
    <comment ref="F9" authorId="0" shapeId="0" xr:uid="{BA3DDCF6-8156-409C-BBF4-A96E6A91058F}">
      <text>
        <r>
          <rPr>
            <sz val="9"/>
            <color indexed="81"/>
            <rFont val="Tahoma"/>
            <family val="2"/>
          </rPr>
          <t xml:space="preserve">
Not apllicable for the first year</t>
        </r>
      </text>
    </comment>
    <comment ref="G9" authorId="0" shapeId="0" xr:uid="{9468B015-0A26-4D5A-8B1B-7857D37E002E}">
      <text>
        <r>
          <rPr>
            <sz val="9"/>
            <color indexed="81"/>
            <rFont val="Tahoma"/>
            <family val="2"/>
          </rPr>
          <t xml:space="preserve">
Not apllicable for the first year</t>
        </r>
      </text>
    </comment>
    <comment ref="H9" authorId="0" shapeId="0" xr:uid="{F5CE0113-61C4-49C9-B136-C226651F0874}">
      <text>
        <r>
          <rPr>
            <sz val="9"/>
            <color indexed="81"/>
            <rFont val="Tahoma"/>
            <family val="2"/>
          </rPr>
          <t xml:space="preserve">
Not apllicable for the first year</t>
        </r>
      </text>
    </comment>
    <comment ref="I9" authorId="0" shapeId="0" xr:uid="{2758C39C-EB0E-4600-A186-ED8065CDD6D5}">
      <text>
        <r>
          <rPr>
            <sz val="9"/>
            <color indexed="81"/>
            <rFont val="Tahoma"/>
            <family val="2"/>
          </rPr>
          <t xml:space="preserve">
Not apllicable for the first year</t>
        </r>
      </text>
    </comment>
    <comment ref="J9" authorId="0" shapeId="0" xr:uid="{C861C245-98E8-4E3B-8BEA-E602B7975DCC}">
      <text>
        <r>
          <rPr>
            <sz val="9"/>
            <color indexed="81"/>
            <rFont val="Tahoma"/>
            <family val="2"/>
          </rPr>
          <t xml:space="preserve">
Not apllicable for the first year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577FAB3C-F975-49A0-98EB-7DF81979A75D}">
      <text>
        <r>
          <rPr>
            <sz val="9"/>
            <color indexed="81"/>
            <rFont val="Tahoma"/>
            <family val="2"/>
          </rPr>
          <t xml:space="preserve">
Not apllicable for the first year</t>
        </r>
      </text>
    </comment>
    <comment ref="C9" authorId="0" shapeId="0" xr:uid="{D8355159-5834-4EC4-98C5-853B48D53B96}">
      <text>
        <r>
          <rPr>
            <sz val="9"/>
            <color indexed="81"/>
            <rFont val="Tahoma"/>
            <family val="2"/>
          </rPr>
          <t xml:space="preserve">
Not apllicable for the first year</t>
        </r>
      </text>
    </comment>
    <comment ref="D9" authorId="0" shapeId="0" xr:uid="{2B0B32D5-55EB-4355-9E6C-8F19FF7C92AD}">
      <text>
        <r>
          <rPr>
            <sz val="9"/>
            <color indexed="81"/>
            <rFont val="Tahoma"/>
            <family val="2"/>
          </rPr>
          <t xml:space="preserve">
Not apllicable for the first year</t>
        </r>
      </text>
    </comment>
    <comment ref="E9" authorId="0" shapeId="0" xr:uid="{11702333-B754-419F-A1AB-5D2CA180BE7B}">
      <text>
        <r>
          <rPr>
            <sz val="9"/>
            <color indexed="81"/>
            <rFont val="Tahoma"/>
            <family val="2"/>
          </rPr>
          <t xml:space="preserve">
Not apllicable for the first year</t>
        </r>
      </text>
    </comment>
    <comment ref="F9" authorId="0" shapeId="0" xr:uid="{6291B847-8737-493F-83E3-E7D03648F6B9}">
      <text>
        <r>
          <rPr>
            <sz val="9"/>
            <color indexed="81"/>
            <rFont val="Tahoma"/>
            <family val="2"/>
          </rPr>
          <t xml:space="preserve">
Not apllicable for the first year</t>
        </r>
      </text>
    </comment>
    <comment ref="G9" authorId="0" shapeId="0" xr:uid="{D85849D8-1533-4B37-B97E-D6070CD1249C}">
      <text>
        <r>
          <rPr>
            <sz val="9"/>
            <color indexed="81"/>
            <rFont val="Tahoma"/>
            <family val="2"/>
          </rPr>
          <t xml:space="preserve">
Not apllicable for the first year</t>
        </r>
      </text>
    </comment>
    <comment ref="H9" authorId="0" shapeId="0" xr:uid="{B099F6C6-EF3D-4811-B510-C1FC121A4407}">
      <text>
        <r>
          <rPr>
            <sz val="9"/>
            <color indexed="81"/>
            <rFont val="Tahoma"/>
            <family val="2"/>
          </rPr>
          <t xml:space="preserve">
Not apllicable for the first year</t>
        </r>
      </text>
    </comment>
    <comment ref="I9" authorId="0" shapeId="0" xr:uid="{78FD023B-F841-4B5B-AA82-76569D1D9959}">
      <text>
        <r>
          <rPr>
            <sz val="9"/>
            <color indexed="81"/>
            <rFont val="Tahoma"/>
            <family val="2"/>
          </rPr>
          <t xml:space="preserve">
Not apllicable for the first year</t>
        </r>
      </text>
    </comment>
    <comment ref="J9" authorId="0" shapeId="0" xr:uid="{22CE35EA-7EF2-4BDD-8B54-03BCC08A59A6}">
      <text>
        <r>
          <rPr>
            <sz val="9"/>
            <color indexed="81"/>
            <rFont val="Tahoma"/>
            <family val="2"/>
          </rPr>
          <t xml:space="preserve">
Not apllicable for the first year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1E4F208B-DA41-496B-9168-FCF9EADA6776}">
      <text>
        <r>
          <rPr>
            <sz val="9"/>
            <color indexed="81"/>
            <rFont val="Tahoma"/>
            <family val="2"/>
          </rPr>
          <t xml:space="preserve">
Not apllicable for the first year</t>
        </r>
      </text>
    </comment>
    <comment ref="C9" authorId="0" shapeId="0" xr:uid="{A0769C70-EFCE-471A-B4F3-C8566AB6B249}">
      <text>
        <r>
          <rPr>
            <sz val="9"/>
            <color indexed="81"/>
            <rFont val="Tahoma"/>
            <family val="2"/>
          </rPr>
          <t xml:space="preserve">
Not apllicable for the first year</t>
        </r>
      </text>
    </comment>
    <comment ref="D9" authorId="0" shapeId="0" xr:uid="{B565EEEC-2172-445C-91ED-C63318B1AD80}">
      <text>
        <r>
          <rPr>
            <sz val="9"/>
            <color indexed="81"/>
            <rFont val="Tahoma"/>
            <family val="2"/>
          </rPr>
          <t xml:space="preserve">
Not apllicable for the first year</t>
        </r>
      </text>
    </comment>
    <comment ref="E9" authorId="0" shapeId="0" xr:uid="{B4153ED4-898D-40E2-B9AC-8A89F0588E19}">
      <text>
        <r>
          <rPr>
            <sz val="9"/>
            <color indexed="81"/>
            <rFont val="Tahoma"/>
            <family val="2"/>
          </rPr>
          <t xml:space="preserve">
Not apllicable for the first year</t>
        </r>
      </text>
    </comment>
    <comment ref="F9" authorId="0" shapeId="0" xr:uid="{702DA0EF-98A9-4E82-8934-7FA4AA28BFC5}">
      <text>
        <r>
          <rPr>
            <sz val="9"/>
            <color indexed="81"/>
            <rFont val="Tahoma"/>
            <family val="2"/>
          </rPr>
          <t xml:space="preserve">
Not apllicable for the first year</t>
        </r>
      </text>
    </comment>
    <comment ref="G9" authorId="0" shapeId="0" xr:uid="{C5121430-826E-48CE-B2C5-7C02BA09AC84}">
      <text>
        <r>
          <rPr>
            <sz val="9"/>
            <color indexed="81"/>
            <rFont val="Tahoma"/>
            <family val="2"/>
          </rPr>
          <t xml:space="preserve">
Not apllicable for the first year</t>
        </r>
      </text>
    </comment>
    <comment ref="H9" authorId="0" shapeId="0" xr:uid="{BE443CF5-151F-4791-AFFD-EFD401AD3AD5}">
      <text>
        <r>
          <rPr>
            <sz val="9"/>
            <color indexed="81"/>
            <rFont val="Tahoma"/>
            <family val="2"/>
          </rPr>
          <t xml:space="preserve">
Not apllicable for the first year</t>
        </r>
      </text>
    </comment>
    <comment ref="I9" authorId="0" shapeId="0" xr:uid="{D9C80AF4-9B61-4B42-BFDF-7178723ABD5F}">
      <text>
        <r>
          <rPr>
            <sz val="9"/>
            <color indexed="81"/>
            <rFont val="Tahoma"/>
            <family val="2"/>
          </rPr>
          <t xml:space="preserve">
Not apllicable for the first year</t>
        </r>
      </text>
    </comment>
    <comment ref="J9" authorId="0" shapeId="0" xr:uid="{640260B4-5FA6-44E1-B978-D647904B0CB2}">
      <text>
        <r>
          <rPr>
            <sz val="9"/>
            <color indexed="81"/>
            <rFont val="Tahoma"/>
            <family val="2"/>
          </rPr>
          <t xml:space="preserve">
Not apllicable for the first year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C8EEE9B5-FBDE-4327-A59C-3F8469B74B77}">
      <text>
        <r>
          <rPr>
            <sz val="9"/>
            <color indexed="81"/>
            <rFont val="Tahoma"/>
            <family val="2"/>
          </rPr>
          <t xml:space="preserve">
Not apllicable for the first year</t>
        </r>
      </text>
    </comment>
    <comment ref="C9" authorId="0" shapeId="0" xr:uid="{3D1B3052-7795-429F-B2A1-70EF113630C4}">
      <text>
        <r>
          <rPr>
            <sz val="9"/>
            <color indexed="81"/>
            <rFont val="Tahoma"/>
            <family val="2"/>
          </rPr>
          <t xml:space="preserve">
Not apllicable for the first year</t>
        </r>
      </text>
    </comment>
    <comment ref="D9" authorId="0" shapeId="0" xr:uid="{EF9F45AA-FB9D-46CE-9870-953FAFAB3A32}">
      <text>
        <r>
          <rPr>
            <sz val="9"/>
            <color indexed="81"/>
            <rFont val="Tahoma"/>
            <family val="2"/>
          </rPr>
          <t xml:space="preserve">
Not apllicable for the first year</t>
        </r>
      </text>
    </comment>
    <comment ref="E9" authorId="0" shapeId="0" xr:uid="{F4930263-70A9-4FEA-BB5A-775C6ED18000}">
      <text>
        <r>
          <rPr>
            <sz val="9"/>
            <color indexed="81"/>
            <rFont val="Tahoma"/>
            <family val="2"/>
          </rPr>
          <t xml:space="preserve">
Not apllicable for the first year</t>
        </r>
      </text>
    </comment>
    <comment ref="F9" authorId="0" shapeId="0" xr:uid="{EA451D2F-225F-4FCD-A093-4945B67F1F02}">
      <text>
        <r>
          <rPr>
            <sz val="9"/>
            <color indexed="81"/>
            <rFont val="Tahoma"/>
            <family val="2"/>
          </rPr>
          <t xml:space="preserve">
Not apllicable for the first year</t>
        </r>
      </text>
    </comment>
    <comment ref="G9" authorId="0" shapeId="0" xr:uid="{0212875B-499F-4E0B-8EE3-C34272019887}">
      <text>
        <r>
          <rPr>
            <sz val="9"/>
            <color indexed="81"/>
            <rFont val="Tahoma"/>
            <family val="2"/>
          </rPr>
          <t xml:space="preserve">
Not apllicable for the first year</t>
        </r>
      </text>
    </comment>
    <comment ref="H9" authorId="0" shapeId="0" xr:uid="{AEBD9563-2DAB-4816-B576-81CF73D4391D}">
      <text>
        <r>
          <rPr>
            <sz val="9"/>
            <color indexed="81"/>
            <rFont val="Tahoma"/>
            <family val="2"/>
          </rPr>
          <t xml:space="preserve">
Not apllicable for the first year</t>
        </r>
      </text>
    </comment>
    <comment ref="I9" authorId="0" shapeId="0" xr:uid="{6059CFC0-E8BF-42CD-B78F-A38C42C3CFD4}">
      <text>
        <r>
          <rPr>
            <sz val="9"/>
            <color indexed="81"/>
            <rFont val="Tahoma"/>
            <family val="2"/>
          </rPr>
          <t xml:space="preserve">
Not apllicable for the first year</t>
        </r>
      </text>
    </comment>
    <comment ref="J9" authorId="0" shapeId="0" xr:uid="{F1BE9FF3-8C34-477A-95BF-5BE33CB33B68}">
      <text>
        <r>
          <rPr>
            <sz val="9"/>
            <color indexed="81"/>
            <rFont val="Tahoma"/>
            <family val="2"/>
          </rPr>
          <t xml:space="preserve">
Not apllicable for the first year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93238151-403C-43E1-84AF-BCFB9386448E}">
      <text>
        <r>
          <rPr>
            <sz val="9"/>
            <color indexed="81"/>
            <rFont val="Tahoma"/>
            <family val="2"/>
          </rPr>
          <t xml:space="preserve">
Not apllicable for the first year</t>
        </r>
      </text>
    </comment>
    <comment ref="C9" authorId="0" shapeId="0" xr:uid="{891EE6A2-44D5-4D2D-8146-AC651499AC0D}">
      <text>
        <r>
          <rPr>
            <sz val="9"/>
            <color indexed="81"/>
            <rFont val="Tahoma"/>
            <family val="2"/>
          </rPr>
          <t xml:space="preserve">
Not apllicable for the first year</t>
        </r>
      </text>
    </comment>
    <comment ref="D9" authorId="0" shapeId="0" xr:uid="{E093B707-C4AD-40FF-8E5A-CC8327A028AA}">
      <text>
        <r>
          <rPr>
            <sz val="9"/>
            <color indexed="81"/>
            <rFont val="Tahoma"/>
            <family val="2"/>
          </rPr>
          <t xml:space="preserve">
Not apllicable for the first year</t>
        </r>
      </text>
    </comment>
    <comment ref="E9" authorId="0" shapeId="0" xr:uid="{F6FF5AC5-54B3-46DC-8341-DAB0A598044A}">
      <text>
        <r>
          <rPr>
            <sz val="9"/>
            <color indexed="81"/>
            <rFont val="Tahoma"/>
            <family val="2"/>
          </rPr>
          <t xml:space="preserve">
Not apllicable for the first year</t>
        </r>
      </text>
    </comment>
    <comment ref="F9" authorId="0" shapeId="0" xr:uid="{692F3A90-0D2B-4C5F-A080-00FC8F7625AF}">
      <text>
        <r>
          <rPr>
            <sz val="9"/>
            <color indexed="81"/>
            <rFont val="Tahoma"/>
            <family val="2"/>
          </rPr>
          <t xml:space="preserve">
Not apllicable for the first year</t>
        </r>
      </text>
    </comment>
    <comment ref="G9" authorId="0" shapeId="0" xr:uid="{368766D8-B209-4E23-8199-CEDC52870DDD}">
      <text>
        <r>
          <rPr>
            <sz val="9"/>
            <color indexed="81"/>
            <rFont val="Tahoma"/>
            <family val="2"/>
          </rPr>
          <t xml:space="preserve">
Not apllicable for the first year</t>
        </r>
      </text>
    </comment>
    <comment ref="H9" authorId="0" shapeId="0" xr:uid="{E5C4AC35-AA34-4B16-A97E-4F4AFC980470}">
      <text>
        <r>
          <rPr>
            <sz val="9"/>
            <color indexed="81"/>
            <rFont val="Tahoma"/>
            <family val="2"/>
          </rPr>
          <t xml:space="preserve">
Not apllicable for the first year</t>
        </r>
      </text>
    </comment>
    <comment ref="I9" authorId="0" shapeId="0" xr:uid="{CD4A9E5A-D728-40D3-A6A6-EBEAA2E7ABFF}">
      <text>
        <r>
          <rPr>
            <sz val="9"/>
            <color indexed="81"/>
            <rFont val="Tahoma"/>
            <family val="2"/>
          </rPr>
          <t xml:space="preserve">
Not apllicable for the first year</t>
        </r>
      </text>
    </comment>
    <comment ref="J9" authorId="0" shapeId="0" xr:uid="{AB335C9C-D74F-40C6-AEF5-A3D71EAFC66F}">
      <text>
        <r>
          <rPr>
            <sz val="9"/>
            <color indexed="81"/>
            <rFont val="Tahoma"/>
            <family val="2"/>
          </rPr>
          <t xml:space="preserve">
Not apllicable for the first year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9E4B673B-1807-4DD3-ACAB-1F01E2D5CA53}">
      <text>
        <r>
          <rPr>
            <sz val="9"/>
            <color indexed="81"/>
            <rFont val="Tahoma"/>
            <family val="2"/>
          </rPr>
          <t xml:space="preserve">
Not apllicable for the first year</t>
        </r>
      </text>
    </comment>
    <comment ref="C9" authorId="0" shapeId="0" xr:uid="{9785C0E0-2368-44BE-A2D1-8B56979FB5E6}">
      <text>
        <r>
          <rPr>
            <sz val="9"/>
            <color indexed="81"/>
            <rFont val="Tahoma"/>
            <family val="2"/>
          </rPr>
          <t xml:space="preserve">
Not apllicable for the first year</t>
        </r>
      </text>
    </comment>
    <comment ref="D9" authorId="0" shapeId="0" xr:uid="{19BFBF84-9353-4283-9A00-BD65CD79FF04}">
      <text>
        <r>
          <rPr>
            <sz val="9"/>
            <color indexed="81"/>
            <rFont val="Tahoma"/>
            <family val="2"/>
          </rPr>
          <t xml:space="preserve">
Not apllicable for the first year</t>
        </r>
      </text>
    </comment>
    <comment ref="E9" authorId="0" shapeId="0" xr:uid="{9BFDC6D0-7FA8-4CFC-AE5D-9DA8E40E25BE}">
      <text>
        <r>
          <rPr>
            <sz val="9"/>
            <color indexed="81"/>
            <rFont val="Tahoma"/>
            <family val="2"/>
          </rPr>
          <t xml:space="preserve">
Not apllicable for the first year</t>
        </r>
      </text>
    </comment>
    <comment ref="F9" authorId="0" shapeId="0" xr:uid="{0DACD14D-7B69-4C19-BA72-BE4601C78808}">
      <text>
        <r>
          <rPr>
            <sz val="9"/>
            <color indexed="81"/>
            <rFont val="Tahoma"/>
            <family val="2"/>
          </rPr>
          <t xml:space="preserve">
Not apllicable for the first year</t>
        </r>
      </text>
    </comment>
    <comment ref="G9" authorId="0" shapeId="0" xr:uid="{B094ACB4-9C2C-40E1-AE4B-ECDD992A20D6}">
      <text>
        <r>
          <rPr>
            <sz val="9"/>
            <color indexed="81"/>
            <rFont val="Tahoma"/>
            <family val="2"/>
          </rPr>
          <t xml:space="preserve">
Not apllicable for the first year</t>
        </r>
      </text>
    </comment>
    <comment ref="H9" authorId="0" shapeId="0" xr:uid="{E32A05EC-E46E-417C-8C0A-85CFBDCEA6D2}">
      <text>
        <r>
          <rPr>
            <sz val="9"/>
            <color indexed="81"/>
            <rFont val="Tahoma"/>
            <family val="2"/>
          </rPr>
          <t xml:space="preserve">
Not apllicable for the first year</t>
        </r>
      </text>
    </comment>
    <comment ref="I9" authorId="0" shapeId="0" xr:uid="{8789078A-32D5-43A9-8FA9-307725D050C3}">
      <text>
        <r>
          <rPr>
            <sz val="9"/>
            <color indexed="81"/>
            <rFont val="Tahoma"/>
            <family val="2"/>
          </rPr>
          <t xml:space="preserve">
Not apllicable for the first year</t>
        </r>
      </text>
    </comment>
    <comment ref="J9" authorId="0" shapeId="0" xr:uid="{97ECA9E5-578B-452C-ADA3-A87B6EBF2229}">
      <text>
        <r>
          <rPr>
            <sz val="9"/>
            <color indexed="81"/>
            <rFont val="Tahoma"/>
            <family val="2"/>
          </rPr>
          <t xml:space="preserve">
Not apllicable for the first year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CCADE114-E172-4C62-8285-413A200EDAEE}">
      <text>
        <r>
          <rPr>
            <sz val="9"/>
            <color indexed="81"/>
            <rFont val="Tahoma"/>
            <family val="2"/>
          </rPr>
          <t xml:space="preserve">
Not apllicable for the first year</t>
        </r>
      </text>
    </comment>
    <comment ref="C9" authorId="0" shapeId="0" xr:uid="{39A6A973-2CA7-462E-BF77-38A2A83239D4}">
      <text>
        <r>
          <rPr>
            <sz val="9"/>
            <color indexed="81"/>
            <rFont val="Tahoma"/>
            <family val="2"/>
          </rPr>
          <t xml:space="preserve">
Not apllicable for the first year</t>
        </r>
      </text>
    </comment>
    <comment ref="D9" authorId="0" shapeId="0" xr:uid="{1E741374-B562-4293-8BCD-B8D55C9AE43A}">
      <text>
        <r>
          <rPr>
            <sz val="9"/>
            <color indexed="81"/>
            <rFont val="Tahoma"/>
            <family val="2"/>
          </rPr>
          <t xml:space="preserve">
Not apllicable for the first year</t>
        </r>
      </text>
    </comment>
    <comment ref="E9" authorId="0" shapeId="0" xr:uid="{6784F60B-D8D6-4A78-9B9C-3F2361138608}">
      <text>
        <r>
          <rPr>
            <sz val="9"/>
            <color indexed="81"/>
            <rFont val="Tahoma"/>
            <family val="2"/>
          </rPr>
          <t xml:space="preserve">
Not apllicable for the first year</t>
        </r>
      </text>
    </comment>
    <comment ref="F9" authorId="0" shapeId="0" xr:uid="{5954388A-7744-4FBF-A5AB-4EDA6387626A}">
      <text>
        <r>
          <rPr>
            <sz val="9"/>
            <color indexed="81"/>
            <rFont val="Tahoma"/>
            <family val="2"/>
          </rPr>
          <t xml:space="preserve">
Not apllicable for the first year</t>
        </r>
      </text>
    </comment>
    <comment ref="G9" authorId="0" shapeId="0" xr:uid="{A0C3DBB4-4B4C-4D48-9CB4-17DAA305DB75}">
      <text>
        <r>
          <rPr>
            <sz val="9"/>
            <color indexed="81"/>
            <rFont val="Tahoma"/>
            <family val="2"/>
          </rPr>
          <t xml:space="preserve">
Not apllicable for the first year</t>
        </r>
      </text>
    </comment>
    <comment ref="H9" authorId="0" shapeId="0" xr:uid="{45F3A286-AD27-41EC-8C74-132A4FE74F9F}">
      <text>
        <r>
          <rPr>
            <sz val="9"/>
            <color indexed="81"/>
            <rFont val="Tahoma"/>
            <family val="2"/>
          </rPr>
          <t xml:space="preserve">
Not apllicable for the first year</t>
        </r>
      </text>
    </comment>
    <comment ref="I9" authorId="0" shapeId="0" xr:uid="{AE6363FA-01CE-4059-8B06-CF1FD0038C7D}">
      <text>
        <r>
          <rPr>
            <sz val="9"/>
            <color indexed="81"/>
            <rFont val="Tahoma"/>
            <family val="2"/>
          </rPr>
          <t xml:space="preserve">
Not apllicable for the first year</t>
        </r>
      </text>
    </comment>
    <comment ref="J9" authorId="0" shapeId="0" xr:uid="{25E36D2B-5F7B-4626-91CF-2C6FAA5319E8}">
      <text>
        <r>
          <rPr>
            <sz val="9"/>
            <color indexed="81"/>
            <rFont val="Tahoma"/>
            <family val="2"/>
          </rPr>
          <t xml:space="preserve">
Not apllicable for the first year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B3145185-E24E-4744-8AEA-FC972242F9C7}">
      <text>
        <r>
          <rPr>
            <sz val="9"/>
            <color indexed="81"/>
            <rFont val="Tahoma"/>
            <family val="2"/>
          </rPr>
          <t xml:space="preserve">
Not apllicable for the first year</t>
        </r>
      </text>
    </comment>
    <comment ref="C9" authorId="0" shapeId="0" xr:uid="{0E75B1F8-A51A-41F5-B02C-EF62221E9D52}">
      <text>
        <r>
          <rPr>
            <sz val="9"/>
            <color indexed="81"/>
            <rFont val="Tahoma"/>
            <family val="2"/>
          </rPr>
          <t xml:space="preserve">
Not apllicable for the first year</t>
        </r>
      </text>
    </comment>
    <comment ref="D9" authorId="0" shapeId="0" xr:uid="{8967345B-F869-4E6E-822F-FCE6F4C9BF34}">
      <text>
        <r>
          <rPr>
            <sz val="9"/>
            <color indexed="81"/>
            <rFont val="Tahoma"/>
            <family val="2"/>
          </rPr>
          <t xml:space="preserve">
Not apllicable for the first year</t>
        </r>
      </text>
    </comment>
    <comment ref="E9" authorId="0" shapeId="0" xr:uid="{7910C89D-4DB7-4C11-A6B1-498FE4052671}">
      <text>
        <r>
          <rPr>
            <sz val="9"/>
            <color indexed="81"/>
            <rFont val="Tahoma"/>
            <family val="2"/>
          </rPr>
          <t xml:space="preserve">
Not apllicable for the first year</t>
        </r>
      </text>
    </comment>
    <comment ref="F9" authorId="0" shapeId="0" xr:uid="{2778D4B9-681E-4A5E-97B9-B7D2842C455D}">
      <text>
        <r>
          <rPr>
            <sz val="9"/>
            <color indexed="81"/>
            <rFont val="Tahoma"/>
            <family val="2"/>
          </rPr>
          <t xml:space="preserve">
Not apllicable for the first year</t>
        </r>
      </text>
    </comment>
    <comment ref="G9" authorId="0" shapeId="0" xr:uid="{90FC7C78-422A-44AD-B1CF-13DF1626C5E0}">
      <text>
        <r>
          <rPr>
            <sz val="9"/>
            <color indexed="81"/>
            <rFont val="Tahoma"/>
            <family val="2"/>
          </rPr>
          <t xml:space="preserve">
Not apllicable for the first year</t>
        </r>
      </text>
    </comment>
    <comment ref="H9" authorId="0" shapeId="0" xr:uid="{7B3AF93D-4D7E-4ECD-8610-F4E2F8C6D63F}">
      <text>
        <r>
          <rPr>
            <sz val="9"/>
            <color indexed="81"/>
            <rFont val="Tahoma"/>
            <family val="2"/>
          </rPr>
          <t xml:space="preserve">
Not apllicable for the first year</t>
        </r>
      </text>
    </comment>
    <comment ref="I9" authorId="0" shapeId="0" xr:uid="{7FF30FB6-A2E9-4936-990A-22D782FCE9FE}">
      <text>
        <r>
          <rPr>
            <sz val="9"/>
            <color indexed="81"/>
            <rFont val="Tahoma"/>
            <family val="2"/>
          </rPr>
          <t xml:space="preserve">
Not apllicable for the first year</t>
        </r>
      </text>
    </comment>
    <comment ref="J9" authorId="0" shapeId="0" xr:uid="{0BF30556-F945-430D-BCB3-B20FFBC86D94}">
      <text>
        <r>
          <rPr>
            <sz val="9"/>
            <color indexed="81"/>
            <rFont val="Tahoma"/>
            <family val="2"/>
          </rPr>
          <t xml:space="preserve">
Not apllicable for the first year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4C715F68-6465-4AE8-B53E-59090F44AF7C}">
      <text>
        <r>
          <rPr>
            <sz val="9"/>
            <color indexed="81"/>
            <rFont val="Tahoma"/>
            <family val="2"/>
          </rPr>
          <t xml:space="preserve">
Not apllicable for the first year</t>
        </r>
      </text>
    </comment>
    <comment ref="C9" authorId="0" shapeId="0" xr:uid="{DA1A91CE-0822-4B64-9341-ABA2C200083F}">
      <text>
        <r>
          <rPr>
            <sz val="9"/>
            <color indexed="81"/>
            <rFont val="Tahoma"/>
            <family val="2"/>
          </rPr>
          <t xml:space="preserve">
Not apllicable for the first year</t>
        </r>
      </text>
    </comment>
    <comment ref="D9" authorId="0" shapeId="0" xr:uid="{FE5B1D04-324A-4F10-822C-F2B44411572B}">
      <text>
        <r>
          <rPr>
            <sz val="9"/>
            <color indexed="81"/>
            <rFont val="Tahoma"/>
            <family val="2"/>
          </rPr>
          <t xml:space="preserve">
Not apllicable for the first year</t>
        </r>
      </text>
    </comment>
    <comment ref="E9" authorId="0" shapeId="0" xr:uid="{4B65C9AF-FE08-4E0E-A880-B6EC49935922}">
      <text>
        <r>
          <rPr>
            <sz val="9"/>
            <color indexed="81"/>
            <rFont val="Tahoma"/>
            <family val="2"/>
          </rPr>
          <t xml:space="preserve">
Not apllicable for the first year</t>
        </r>
      </text>
    </comment>
    <comment ref="F9" authorId="0" shapeId="0" xr:uid="{E83319CD-842A-4EFE-97DB-CF01116A8E36}">
      <text>
        <r>
          <rPr>
            <sz val="9"/>
            <color indexed="81"/>
            <rFont val="Tahoma"/>
            <family val="2"/>
          </rPr>
          <t xml:space="preserve">
Not apllicable for the first year</t>
        </r>
      </text>
    </comment>
    <comment ref="G9" authorId="0" shapeId="0" xr:uid="{B5F5D119-3263-4B12-9A1A-95583BE887C8}">
      <text>
        <r>
          <rPr>
            <sz val="9"/>
            <color indexed="81"/>
            <rFont val="Tahoma"/>
            <family val="2"/>
          </rPr>
          <t xml:space="preserve">
Not apllicable for the first year</t>
        </r>
      </text>
    </comment>
    <comment ref="H9" authorId="0" shapeId="0" xr:uid="{4042ECC7-CDCE-4139-8EDE-EFC5B973FB30}">
      <text>
        <r>
          <rPr>
            <sz val="9"/>
            <color indexed="81"/>
            <rFont val="Tahoma"/>
            <family val="2"/>
          </rPr>
          <t xml:space="preserve">
Not apllicable for the first year</t>
        </r>
      </text>
    </comment>
    <comment ref="I9" authorId="0" shapeId="0" xr:uid="{EB7AE5D5-23EB-40EC-833B-1002EB17B638}">
      <text>
        <r>
          <rPr>
            <sz val="9"/>
            <color indexed="81"/>
            <rFont val="Tahoma"/>
            <family val="2"/>
          </rPr>
          <t xml:space="preserve">
Not apllicable for the first year</t>
        </r>
      </text>
    </comment>
    <comment ref="J9" authorId="0" shapeId="0" xr:uid="{622DB56E-E8EB-4CED-8D3D-1E7FB8DE7546}">
      <text>
        <r>
          <rPr>
            <sz val="9"/>
            <color indexed="81"/>
            <rFont val="Tahoma"/>
            <family val="2"/>
          </rPr>
          <t xml:space="preserve">
Not apllicable for the first year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B51773AF-E812-471B-A996-5675EF8D9F63}">
      <text>
        <r>
          <rPr>
            <sz val="9"/>
            <color indexed="81"/>
            <rFont val="Tahoma"/>
            <family val="2"/>
          </rPr>
          <t xml:space="preserve">
Not apllicable for the first year</t>
        </r>
      </text>
    </comment>
    <comment ref="C9" authorId="0" shapeId="0" xr:uid="{42399FCB-E214-4B11-841A-1DE489DC7B7B}">
      <text>
        <r>
          <rPr>
            <sz val="9"/>
            <color indexed="81"/>
            <rFont val="Tahoma"/>
            <family val="2"/>
          </rPr>
          <t xml:space="preserve">
Not apllicable for the first year</t>
        </r>
      </text>
    </comment>
    <comment ref="D9" authorId="0" shapeId="0" xr:uid="{F11EF904-84A6-4449-9EA7-EDD9ADBE4C2E}">
      <text>
        <r>
          <rPr>
            <sz val="9"/>
            <color indexed="81"/>
            <rFont val="Tahoma"/>
            <family val="2"/>
          </rPr>
          <t xml:space="preserve">
Not apllicable for the first year</t>
        </r>
      </text>
    </comment>
    <comment ref="E9" authorId="0" shapeId="0" xr:uid="{D7540836-FEED-4907-B378-0580C6C1CE99}">
      <text>
        <r>
          <rPr>
            <sz val="9"/>
            <color indexed="81"/>
            <rFont val="Tahoma"/>
            <family val="2"/>
          </rPr>
          <t xml:space="preserve">
Not apllicable for the first year</t>
        </r>
      </text>
    </comment>
    <comment ref="F9" authorId="0" shapeId="0" xr:uid="{B50CF40C-EA57-480B-89CD-60EFCC2DE2F1}">
      <text>
        <r>
          <rPr>
            <sz val="9"/>
            <color indexed="81"/>
            <rFont val="Tahoma"/>
            <family val="2"/>
          </rPr>
          <t xml:space="preserve">
Not apllicable for the first year</t>
        </r>
      </text>
    </comment>
    <comment ref="G9" authorId="0" shapeId="0" xr:uid="{1AFC6471-7866-4001-82C7-59EC3F00F813}">
      <text>
        <r>
          <rPr>
            <sz val="9"/>
            <color indexed="81"/>
            <rFont val="Tahoma"/>
            <family val="2"/>
          </rPr>
          <t xml:space="preserve">
Not apllicable for the first year</t>
        </r>
      </text>
    </comment>
    <comment ref="H9" authorId="0" shapeId="0" xr:uid="{1F161C51-33EC-49A1-8402-65F2D0AE81C0}">
      <text>
        <r>
          <rPr>
            <sz val="9"/>
            <color indexed="81"/>
            <rFont val="Tahoma"/>
            <family val="2"/>
          </rPr>
          <t xml:space="preserve">
Not apllicable for the first year</t>
        </r>
      </text>
    </comment>
    <comment ref="I9" authorId="0" shapeId="0" xr:uid="{D657B439-55FC-4FC7-A66C-6266943FD9C1}">
      <text>
        <r>
          <rPr>
            <sz val="9"/>
            <color indexed="81"/>
            <rFont val="Tahoma"/>
            <family val="2"/>
          </rPr>
          <t xml:space="preserve">
Not apllicable for the first year</t>
        </r>
      </text>
    </comment>
    <comment ref="J9" authorId="0" shapeId="0" xr:uid="{EF367022-8EA1-4089-9630-560DEDE5FCC2}">
      <text>
        <r>
          <rPr>
            <sz val="9"/>
            <color indexed="81"/>
            <rFont val="Tahoma"/>
            <family val="2"/>
          </rPr>
          <t xml:space="preserve">
Not apllicable for the first year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1B2299C3-E134-4D35-9A5C-0A0B7D84798D}">
      <text>
        <r>
          <rPr>
            <sz val="9"/>
            <color indexed="81"/>
            <rFont val="Tahoma"/>
            <family val="2"/>
          </rPr>
          <t xml:space="preserve">
Not apllicable for the first year</t>
        </r>
      </text>
    </comment>
    <comment ref="C9" authorId="0" shapeId="0" xr:uid="{34BE13FC-58D0-43B3-B71B-19FD8D1DA812}">
      <text>
        <r>
          <rPr>
            <sz val="9"/>
            <color indexed="81"/>
            <rFont val="Tahoma"/>
            <family val="2"/>
          </rPr>
          <t xml:space="preserve">
Not apllicable for the first year</t>
        </r>
      </text>
    </comment>
    <comment ref="D9" authorId="0" shapeId="0" xr:uid="{EE93AE24-02BD-47CA-A881-91F02037B369}">
      <text>
        <r>
          <rPr>
            <sz val="9"/>
            <color indexed="81"/>
            <rFont val="Tahoma"/>
            <family val="2"/>
          </rPr>
          <t xml:space="preserve">
Not apllicable for the first year</t>
        </r>
      </text>
    </comment>
    <comment ref="E9" authorId="0" shapeId="0" xr:uid="{8E5B7E7E-8745-460F-BBC0-CE56FBCB1BC7}">
      <text>
        <r>
          <rPr>
            <sz val="9"/>
            <color indexed="81"/>
            <rFont val="Tahoma"/>
            <family val="2"/>
          </rPr>
          <t xml:space="preserve">
Not apllicable for the first year</t>
        </r>
      </text>
    </comment>
    <comment ref="F9" authorId="0" shapeId="0" xr:uid="{34E4F55D-68B2-47AF-BD33-298728BBC51F}">
      <text>
        <r>
          <rPr>
            <sz val="9"/>
            <color indexed="81"/>
            <rFont val="Tahoma"/>
            <family val="2"/>
          </rPr>
          <t xml:space="preserve">
Not apllicable for the first year</t>
        </r>
      </text>
    </comment>
    <comment ref="G9" authorId="0" shapeId="0" xr:uid="{1C7F2826-3E95-4E0B-9615-8C6BC94C8079}">
      <text>
        <r>
          <rPr>
            <sz val="9"/>
            <color indexed="81"/>
            <rFont val="Tahoma"/>
            <family val="2"/>
          </rPr>
          <t xml:space="preserve">
Not apllicable for the first year</t>
        </r>
      </text>
    </comment>
    <comment ref="H9" authorId="0" shapeId="0" xr:uid="{E9C4821C-BE09-490A-9566-3D7ACEB6D758}">
      <text>
        <r>
          <rPr>
            <sz val="9"/>
            <color indexed="81"/>
            <rFont val="Tahoma"/>
            <family val="2"/>
          </rPr>
          <t xml:space="preserve">
Not apllicable for the first year</t>
        </r>
      </text>
    </comment>
    <comment ref="I9" authorId="0" shapeId="0" xr:uid="{446200C6-C385-4870-A45F-6BEA9439FF54}">
      <text>
        <r>
          <rPr>
            <sz val="9"/>
            <color indexed="81"/>
            <rFont val="Tahoma"/>
            <family val="2"/>
          </rPr>
          <t xml:space="preserve">
Not apllicable for the first year</t>
        </r>
      </text>
    </comment>
    <comment ref="J9" authorId="0" shapeId="0" xr:uid="{E15912D5-735E-493C-BEB0-84B7A046468A}">
      <text>
        <r>
          <rPr>
            <sz val="9"/>
            <color indexed="81"/>
            <rFont val="Tahoma"/>
            <family val="2"/>
          </rPr>
          <t xml:space="preserve">
Not apllicable for the first year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64CA92D1-A9BA-48EE-9E65-7CB7AFEA534F}">
      <text>
        <r>
          <rPr>
            <sz val="9"/>
            <color indexed="81"/>
            <rFont val="Tahoma"/>
            <family val="2"/>
          </rPr>
          <t xml:space="preserve">
Not apllicable for the first year</t>
        </r>
      </text>
    </comment>
    <comment ref="C9" authorId="0" shapeId="0" xr:uid="{107FA273-F2BE-4972-9E1B-196FE06E575C}">
      <text>
        <r>
          <rPr>
            <sz val="9"/>
            <color indexed="81"/>
            <rFont val="Tahoma"/>
            <family val="2"/>
          </rPr>
          <t xml:space="preserve">
Not apllicable for the first year</t>
        </r>
      </text>
    </comment>
    <comment ref="D9" authorId="0" shapeId="0" xr:uid="{65F39BAF-F0BB-4D1C-A1E3-70840BCB877E}">
      <text>
        <r>
          <rPr>
            <sz val="9"/>
            <color indexed="81"/>
            <rFont val="Tahoma"/>
            <family val="2"/>
          </rPr>
          <t xml:space="preserve">
Not apllicable for the first year</t>
        </r>
      </text>
    </comment>
    <comment ref="E9" authorId="0" shapeId="0" xr:uid="{FF7BDCDA-4BE1-412A-9423-943F2ED71BC2}">
      <text>
        <r>
          <rPr>
            <sz val="9"/>
            <color indexed="81"/>
            <rFont val="Tahoma"/>
            <family val="2"/>
          </rPr>
          <t xml:space="preserve">
Not apllicable for the first year</t>
        </r>
      </text>
    </comment>
    <comment ref="F9" authorId="0" shapeId="0" xr:uid="{90EB78F5-E4C9-4917-9092-4A36918713B2}">
      <text>
        <r>
          <rPr>
            <sz val="9"/>
            <color indexed="81"/>
            <rFont val="Tahoma"/>
            <family val="2"/>
          </rPr>
          <t xml:space="preserve">
Not apllicable for the first year</t>
        </r>
      </text>
    </comment>
    <comment ref="G9" authorId="0" shapeId="0" xr:uid="{DD075A20-6E21-493D-A54F-111C0E58DA22}">
      <text>
        <r>
          <rPr>
            <sz val="9"/>
            <color indexed="81"/>
            <rFont val="Tahoma"/>
            <family val="2"/>
          </rPr>
          <t xml:space="preserve">
Not apllicable for the first year</t>
        </r>
      </text>
    </comment>
    <comment ref="H9" authorId="0" shapeId="0" xr:uid="{5D9FF23C-8745-4385-ACD0-B682A58DB608}">
      <text>
        <r>
          <rPr>
            <sz val="9"/>
            <color indexed="81"/>
            <rFont val="Tahoma"/>
            <family val="2"/>
          </rPr>
          <t xml:space="preserve">
Not apllicable for the first year</t>
        </r>
      </text>
    </comment>
    <comment ref="I9" authorId="0" shapeId="0" xr:uid="{B14C5CE7-E551-4E8D-8A8F-49D8AF45DC59}">
      <text>
        <r>
          <rPr>
            <sz val="9"/>
            <color indexed="81"/>
            <rFont val="Tahoma"/>
            <family val="2"/>
          </rPr>
          <t xml:space="preserve">
Not apllicable for the first year</t>
        </r>
      </text>
    </comment>
    <comment ref="J9" authorId="0" shapeId="0" xr:uid="{30788303-BB4A-4B81-899D-FB05DC8CD48D}">
      <text>
        <r>
          <rPr>
            <sz val="9"/>
            <color indexed="81"/>
            <rFont val="Tahoma"/>
            <family val="2"/>
          </rPr>
          <t xml:space="preserve">
Not apllicable for the first year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FF4434BF-0D30-464B-A6D9-C71124F8C8CC}">
      <text>
        <r>
          <rPr>
            <sz val="9"/>
            <color indexed="81"/>
            <rFont val="Tahoma"/>
            <family val="2"/>
          </rPr>
          <t xml:space="preserve">
Not apllicable for the first year</t>
        </r>
      </text>
    </comment>
    <comment ref="C9" authorId="0" shapeId="0" xr:uid="{6AC53A09-8217-4FE2-B8F6-A7037F88A6D0}">
      <text>
        <r>
          <rPr>
            <sz val="9"/>
            <color indexed="81"/>
            <rFont val="Tahoma"/>
            <family val="2"/>
          </rPr>
          <t xml:space="preserve">
Not apllicable for the first year</t>
        </r>
      </text>
    </comment>
    <comment ref="D9" authorId="0" shapeId="0" xr:uid="{7CC19310-042C-4FA9-B9D7-8C7D379B3798}">
      <text>
        <r>
          <rPr>
            <sz val="9"/>
            <color indexed="81"/>
            <rFont val="Tahoma"/>
            <family val="2"/>
          </rPr>
          <t xml:space="preserve">
Not apllicable for the first year</t>
        </r>
      </text>
    </comment>
    <comment ref="E9" authorId="0" shapeId="0" xr:uid="{A673C0D3-CB61-411C-9EDB-E0061B87150A}">
      <text>
        <r>
          <rPr>
            <sz val="9"/>
            <color indexed="81"/>
            <rFont val="Tahoma"/>
            <family val="2"/>
          </rPr>
          <t xml:space="preserve">
Not apllicable for the first year</t>
        </r>
      </text>
    </comment>
    <comment ref="F9" authorId="0" shapeId="0" xr:uid="{4D837A77-09F3-40B9-A6A7-B6216A5E9C89}">
      <text>
        <r>
          <rPr>
            <sz val="9"/>
            <color indexed="81"/>
            <rFont val="Tahoma"/>
            <family val="2"/>
          </rPr>
          <t xml:space="preserve">
Not apllicable for the first year</t>
        </r>
      </text>
    </comment>
    <comment ref="G9" authorId="0" shapeId="0" xr:uid="{9DAFABC0-E1B9-4DAD-8AAF-8755F6EA14AB}">
      <text>
        <r>
          <rPr>
            <sz val="9"/>
            <color indexed="81"/>
            <rFont val="Tahoma"/>
            <family val="2"/>
          </rPr>
          <t xml:space="preserve">
Not apllicable for the first year</t>
        </r>
      </text>
    </comment>
    <comment ref="H9" authorId="0" shapeId="0" xr:uid="{F3509081-2B74-4296-ACBE-8214DA9C48DD}">
      <text>
        <r>
          <rPr>
            <sz val="9"/>
            <color indexed="81"/>
            <rFont val="Tahoma"/>
            <family val="2"/>
          </rPr>
          <t xml:space="preserve">
Not apllicable for the first year</t>
        </r>
      </text>
    </comment>
    <comment ref="I9" authorId="0" shapeId="0" xr:uid="{89BB0C99-F914-4FEB-8E7A-3C2359AD7E49}">
      <text>
        <r>
          <rPr>
            <sz val="9"/>
            <color indexed="81"/>
            <rFont val="Tahoma"/>
            <family val="2"/>
          </rPr>
          <t xml:space="preserve">
Not apllicable for the first year</t>
        </r>
      </text>
    </comment>
    <comment ref="J9" authorId="0" shapeId="0" xr:uid="{F6834D5D-D07A-44A3-A232-C293E2FAD0BE}">
      <text>
        <r>
          <rPr>
            <sz val="9"/>
            <color indexed="81"/>
            <rFont val="Tahoma"/>
            <family val="2"/>
          </rPr>
          <t xml:space="preserve">
Not apllicable for the first year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2BD7F025-DC98-4BA6-8ED2-C29D63690700}">
      <text>
        <r>
          <rPr>
            <sz val="9"/>
            <color indexed="81"/>
            <rFont val="Tahoma"/>
            <family val="2"/>
          </rPr>
          <t xml:space="preserve">
Not apllicable for the first year</t>
        </r>
      </text>
    </comment>
    <comment ref="C9" authorId="0" shapeId="0" xr:uid="{1803967B-4C3D-40BB-874A-626476560AD5}">
      <text>
        <r>
          <rPr>
            <sz val="9"/>
            <color indexed="81"/>
            <rFont val="Tahoma"/>
            <family val="2"/>
          </rPr>
          <t xml:space="preserve">
Not apllicable for the first year</t>
        </r>
      </text>
    </comment>
    <comment ref="D9" authorId="0" shapeId="0" xr:uid="{015A883A-558B-46EC-96B4-692EAF21FD85}">
      <text>
        <r>
          <rPr>
            <sz val="9"/>
            <color indexed="81"/>
            <rFont val="Tahoma"/>
            <family val="2"/>
          </rPr>
          <t xml:space="preserve">
Not apllicable for the first year</t>
        </r>
      </text>
    </comment>
    <comment ref="E9" authorId="0" shapeId="0" xr:uid="{39C8DE45-8AB3-4900-AE8F-C9B884F0D11C}">
      <text>
        <r>
          <rPr>
            <sz val="9"/>
            <color indexed="81"/>
            <rFont val="Tahoma"/>
            <family val="2"/>
          </rPr>
          <t xml:space="preserve">
Not apllicable for the first year</t>
        </r>
      </text>
    </comment>
    <comment ref="F9" authorId="0" shapeId="0" xr:uid="{61460DD6-C0C3-4895-87DD-D0561D9D222C}">
      <text>
        <r>
          <rPr>
            <sz val="9"/>
            <color indexed="81"/>
            <rFont val="Tahoma"/>
            <family val="2"/>
          </rPr>
          <t xml:space="preserve">
Not apllicable for the first year</t>
        </r>
      </text>
    </comment>
    <comment ref="G9" authorId="0" shapeId="0" xr:uid="{FD84ECC6-F3CB-4A7F-AE96-FC814DEB54E9}">
      <text>
        <r>
          <rPr>
            <sz val="9"/>
            <color indexed="81"/>
            <rFont val="Tahoma"/>
            <family val="2"/>
          </rPr>
          <t xml:space="preserve">
Not apllicable for the first year</t>
        </r>
      </text>
    </comment>
    <comment ref="H9" authorId="0" shapeId="0" xr:uid="{3C68035B-76F0-40C1-854C-63F8C03B780F}">
      <text>
        <r>
          <rPr>
            <sz val="9"/>
            <color indexed="81"/>
            <rFont val="Tahoma"/>
            <family val="2"/>
          </rPr>
          <t xml:space="preserve">
Not apllicable for the first year</t>
        </r>
      </text>
    </comment>
    <comment ref="I9" authorId="0" shapeId="0" xr:uid="{71BE682B-7989-4CFF-A62F-03980B81071D}">
      <text>
        <r>
          <rPr>
            <sz val="9"/>
            <color indexed="81"/>
            <rFont val="Tahoma"/>
            <family val="2"/>
          </rPr>
          <t xml:space="preserve">
Not apllicable for the first year</t>
        </r>
      </text>
    </comment>
    <comment ref="J9" authorId="0" shapeId="0" xr:uid="{E3017B25-E21B-45BB-BCC1-C8A90490D7DC}">
      <text>
        <r>
          <rPr>
            <sz val="9"/>
            <color indexed="81"/>
            <rFont val="Tahoma"/>
            <family val="2"/>
          </rPr>
          <t xml:space="preserve">
Not apllicable for the first year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88B35A4D-2501-4E69-9D43-88A8351D312B}">
      <text>
        <r>
          <rPr>
            <sz val="9"/>
            <color indexed="81"/>
            <rFont val="Tahoma"/>
            <family val="2"/>
          </rPr>
          <t xml:space="preserve">
Not apllicable for the first year</t>
        </r>
      </text>
    </comment>
    <comment ref="C9" authorId="0" shapeId="0" xr:uid="{C59D9B5F-6B4D-4C1C-9D94-234E6AFEB4D2}">
      <text>
        <r>
          <rPr>
            <sz val="9"/>
            <color indexed="81"/>
            <rFont val="Tahoma"/>
            <family val="2"/>
          </rPr>
          <t xml:space="preserve">
Not apllicable for the first year</t>
        </r>
      </text>
    </comment>
    <comment ref="D9" authorId="0" shapeId="0" xr:uid="{23D2FF5D-FD6F-4B8A-AFE0-4C3B36CA018F}">
      <text>
        <r>
          <rPr>
            <sz val="9"/>
            <color indexed="81"/>
            <rFont val="Tahoma"/>
            <family val="2"/>
          </rPr>
          <t xml:space="preserve">
Not apllicable for the first year</t>
        </r>
      </text>
    </comment>
    <comment ref="E9" authorId="0" shapeId="0" xr:uid="{1B51FBC5-64FC-4DC3-B289-E949D1E2C53B}">
      <text>
        <r>
          <rPr>
            <sz val="9"/>
            <color indexed="81"/>
            <rFont val="Tahoma"/>
            <family val="2"/>
          </rPr>
          <t xml:space="preserve">
Not apllicable for the first year</t>
        </r>
      </text>
    </comment>
    <comment ref="F9" authorId="0" shapeId="0" xr:uid="{3DCBD997-4957-4F38-B43A-8DE5A2FBE365}">
      <text>
        <r>
          <rPr>
            <sz val="9"/>
            <color indexed="81"/>
            <rFont val="Tahoma"/>
            <family val="2"/>
          </rPr>
          <t xml:space="preserve">
Not apllicable for the first year</t>
        </r>
      </text>
    </comment>
    <comment ref="G9" authorId="0" shapeId="0" xr:uid="{201B2F87-397D-4FF1-A691-423F965B0C20}">
      <text>
        <r>
          <rPr>
            <sz val="9"/>
            <color indexed="81"/>
            <rFont val="Tahoma"/>
            <family val="2"/>
          </rPr>
          <t xml:space="preserve">
Not apllicable for the first year</t>
        </r>
      </text>
    </comment>
    <comment ref="H9" authorId="0" shapeId="0" xr:uid="{FEA69389-EB0D-47DF-AA21-7DF7EF381317}">
      <text>
        <r>
          <rPr>
            <sz val="9"/>
            <color indexed="81"/>
            <rFont val="Tahoma"/>
            <family val="2"/>
          </rPr>
          <t xml:space="preserve">
Not apllicable for the first year</t>
        </r>
      </text>
    </comment>
    <comment ref="I9" authorId="0" shapeId="0" xr:uid="{9F75D2EE-A6AC-4624-B673-91108EA64610}">
      <text>
        <r>
          <rPr>
            <sz val="9"/>
            <color indexed="81"/>
            <rFont val="Tahoma"/>
            <family val="2"/>
          </rPr>
          <t xml:space="preserve">
Not apllicable for the first year</t>
        </r>
      </text>
    </comment>
    <comment ref="J9" authorId="0" shapeId="0" xr:uid="{227636E3-86E0-4074-B255-5F3AEBF002BC}">
      <text>
        <r>
          <rPr>
            <sz val="9"/>
            <color indexed="81"/>
            <rFont val="Tahoma"/>
            <family val="2"/>
          </rPr>
          <t xml:space="preserve">
Not apllicable for the first year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1CE814F1-3B0D-4E03-BCBF-3A25A3323729}">
      <text>
        <r>
          <rPr>
            <sz val="9"/>
            <color indexed="81"/>
            <rFont val="Tahoma"/>
            <family val="2"/>
          </rPr>
          <t xml:space="preserve">
Not apllicable for the first year</t>
        </r>
      </text>
    </comment>
    <comment ref="C9" authorId="0" shapeId="0" xr:uid="{547583A7-72A8-43E3-9CFD-4151CADED391}">
      <text>
        <r>
          <rPr>
            <sz val="9"/>
            <color indexed="81"/>
            <rFont val="Tahoma"/>
            <family val="2"/>
          </rPr>
          <t xml:space="preserve">
Not apllicable for the first year</t>
        </r>
      </text>
    </comment>
    <comment ref="D9" authorId="0" shapeId="0" xr:uid="{027B2890-788C-4A3A-8FCB-6EE8DD8C1035}">
      <text>
        <r>
          <rPr>
            <sz val="9"/>
            <color indexed="81"/>
            <rFont val="Tahoma"/>
            <family val="2"/>
          </rPr>
          <t xml:space="preserve">
Not apllicable for the first year</t>
        </r>
      </text>
    </comment>
    <comment ref="E9" authorId="0" shapeId="0" xr:uid="{567CAFC9-5A92-4BF9-AD57-A47B99E3EE27}">
      <text>
        <r>
          <rPr>
            <sz val="9"/>
            <color indexed="81"/>
            <rFont val="Tahoma"/>
            <family val="2"/>
          </rPr>
          <t xml:space="preserve">
Not apllicable for the first year</t>
        </r>
      </text>
    </comment>
    <comment ref="F9" authorId="0" shapeId="0" xr:uid="{0A41356D-11C3-4760-B576-AE0E3C3F6F01}">
      <text>
        <r>
          <rPr>
            <sz val="9"/>
            <color indexed="81"/>
            <rFont val="Tahoma"/>
            <family val="2"/>
          </rPr>
          <t xml:space="preserve">
Not apllicable for the first year</t>
        </r>
      </text>
    </comment>
    <comment ref="G9" authorId="0" shapeId="0" xr:uid="{D539F07E-B974-46F9-A615-CA8D02916B19}">
      <text>
        <r>
          <rPr>
            <sz val="9"/>
            <color indexed="81"/>
            <rFont val="Tahoma"/>
            <family val="2"/>
          </rPr>
          <t xml:space="preserve">
Not apllicable for the first year</t>
        </r>
      </text>
    </comment>
    <comment ref="H9" authorId="0" shapeId="0" xr:uid="{81B4EDB5-9076-449A-A409-643666681F83}">
      <text>
        <r>
          <rPr>
            <sz val="9"/>
            <color indexed="81"/>
            <rFont val="Tahoma"/>
            <family val="2"/>
          </rPr>
          <t xml:space="preserve">
Not apllicable for the first year</t>
        </r>
      </text>
    </comment>
    <comment ref="I9" authorId="0" shapeId="0" xr:uid="{5555997E-5D8B-4F0D-A565-BD1261FD9575}">
      <text>
        <r>
          <rPr>
            <sz val="9"/>
            <color indexed="81"/>
            <rFont val="Tahoma"/>
            <family val="2"/>
          </rPr>
          <t xml:space="preserve">
Not apllicable for the first year</t>
        </r>
      </text>
    </comment>
    <comment ref="J9" authorId="0" shapeId="0" xr:uid="{BE47364E-7BF8-497D-9AC2-32011EC56262}">
      <text>
        <r>
          <rPr>
            <sz val="9"/>
            <color indexed="81"/>
            <rFont val="Tahoma"/>
            <family val="2"/>
          </rPr>
          <t xml:space="preserve">
Not apllicable for the first year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32F591FA-32C5-4F15-8047-ACF32D1DB3B5}">
      <text>
        <r>
          <rPr>
            <sz val="9"/>
            <color indexed="81"/>
            <rFont val="Tahoma"/>
            <family val="2"/>
          </rPr>
          <t xml:space="preserve">
Not apllicable for the first year</t>
        </r>
      </text>
    </comment>
    <comment ref="C9" authorId="0" shapeId="0" xr:uid="{4A599BDF-A15A-4D5B-A7B9-E89CBD3BAAE4}">
      <text>
        <r>
          <rPr>
            <sz val="9"/>
            <color indexed="81"/>
            <rFont val="Tahoma"/>
            <family val="2"/>
          </rPr>
          <t xml:space="preserve">
Not apllicable for the first year</t>
        </r>
      </text>
    </comment>
    <comment ref="D9" authorId="0" shapeId="0" xr:uid="{A133CC2D-A255-49C9-847B-CE82DC0E9B6A}">
      <text>
        <r>
          <rPr>
            <sz val="9"/>
            <color indexed="81"/>
            <rFont val="Tahoma"/>
            <family val="2"/>
          </rPr>
          <t xml:space="preserve">
Not apllicable for the first year</t>
        </r>
      </text>
    </comment>
    <comment ref="E9" authorId="0" shapeId="0" xr:uid="{094F4BFF-BFD4-4612-A26A-7FBF49D4DFF7}">
      <text>
        <r>
          <rPr>
            <sz val="9"/>
            <color indexed="81"/>
            <rFont val="Tahoma"/>
            <family val="2"/>
          </rPr>
          <t xml:space="preserve">
Not apllicable for the first year</t>
        </r>
      </text>
    </comment>
    <comment ref="F9" authorId="0" shapeId="0" xr:uid="{D548B058-FC64-4EB4-A890-D2DF64AB0E91}">
      <text>
        <r>
          <rPr>
            <sz val="9"/>
            <color indexed="81"/>
            <rFont val="Tahoma"/>
            <family val="2"/>
          </rPr>
          <t xml:space="preserve">
Not apllicable for the first year</t>
        </r>
      </text>
    </comment>
    <comment ref="G9" authorId="0" shapeId="0" xr:uid="{8C37A49B-2649-40BF-838E-0E7258642D07}">
      <text>
        <r>
          <rPr>
            <sz val="9"/>
            <color indexed="81"/>
            <rFont val="Tahoma"/>
            <family val="2"/>
          </rPr>
          <t xml:space="preserve">
Not apllicable for the first year</t>
        </r>
      </text>
    </comment>
    <comment ref="H9" authorId="0" shapeId="0" xr:uid="{0C11FA8C-6D12-442F-8F69-39947C1282F3}">
      <text>
        <r>
          <rPr>
            <sz val="9"/>
            <color indexed="81"/>
            <rFont val="Tahoma"/>
            <family val="2"/>
          </rPr>
          <t xml:space="preserve">
Not apllicable for the first year</t>
        </r>
      </text>
    </comment>
    <comment ref="I9" authorId="0" shapeId="0" xr:uid="{3FF099FC-D573-4A38-BD82-28C81DDCBA43}">
      <text>
        <r>
          <rPr>
            <sz val="9"/>
            <color indexed="81"/>
            <rFont val="Tahoma"/>
            <family val="2"/>
          </rPr>
          <t xml:space="preserve">
Not apllicable for the first year</t>
        </r>
      </text>
    </comment>
    <comment ref="J9" authorId="0" shapeId="0" xr:uid="{99C6C951-5148-4754-B754-8D700178B071}">
      <text>
        <r>
          <rPr>
            <sz val="9"/>
            <color indexed="81"/>
            <rFont val="Tahoma"/>
            <family val="2"/>
          </rPr>
          <t xml:space="preserve">
Not apllicable for the first year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6DDDD71F-49B6-4F8A-AA1C-7E6FA1801139}">
      <text>
        <r>
          <rPr>
            <sz val="9"/>
            <color indexed="81"/>
            <rFont val="Tahoma"/>
            <family val="2"/>
          </rPr>
          <t xml:space="preserve">
Not apllicable for the first year</t>
        </r>
      </text>
    </comment>
    <comment ref="C9" authorId="0" shapeId="0" xr:uid="{22FE4815-DB8F-4664-BEC2-2B86A60C8252}">
      <text>
        <r>
          <rPr>
            <sz val="9"/>
            <color indexed="81"/>
            <rFont val="Tahoma"/>
            <family val="2"/>
          </rPr>
          <t xml:space="preserve">
Not apllicable for the first year</t>
        </r>
      </text>
    </comment>
    <comment ref="D9" authorId="0" shapeId="0" xr:uid="{D8EA896C-1839-4F72-AAE6-2DE673AF1E75}">
      <text>
        <r>
          <rPr>
            <sz val="9"/>
            <color indexed="81"/>
            <rFont val="Tahoma"/>
            <family val="2"/>
          </rPr>
          <t xml:space="preserve">
Not apllicable for the first year</t>
        </r>
      </text>
    </comment>
    <comment ref="E9" authorId="0" shapeId="0" xr:uid="{FB1F273F-B6C9-4DA0-A570-0170282AD0F6}">
      <text>
        <r>
          <rPr>
            <sz val="9"/>
            <color indexed="81"/>
            <rFont val="Tahoma"/>
            <family val="2"/>
          </rPr>
          <t xml:space="preserve">
Not apllicable for the first year</t>
        </r>
      </text>
    </comment>
    <comment ref="F9" authorId="0" shapeId="0" xr:uid="{33E4DAD6-055D-4EA7-9A0A-C9DB9BF4889A}">
      <text>
        <r>
          <rPr>
            <sz val="9"/>
            <color indexed="81"/>
            <rFont val="Tahoma"/>
            <family val="2"/>
          </rPr>
          <t xml:space="preserve">
Not apllicable for the first year</t>
        </r>
      </text>
    </comment>
    <comment ref="G9" authorId="0" shapeId="0" xr:uid="{C804486A-FA13-4B9D-A005-B183AB45D023}">
      <text>
        <r>
          <rPr>
            <sz val="9"/>
            <color indexed="81"/>
            <rFont val="Tahoma"/>
            <family val="2"/>
          </rPr>
          <t xml:space="preserve">
Not apllicable for the first year</t>
        </r>
      </text>
    </comment>
    <comment ref="H9" authorId="0" shapeId="0" xr:uid="{399EDE04-9AB6-4958-8B83-4D71C30C4D30}">
      <text>
        <r>
          <rPr>
            <sz val="9"/>
            <color indexed="81"/>
            <rFont val="Tahoma"/>
            <family val="2"/>
          </rPr>
          <t xml:space="preserve">
Not apllicable for the first year</t>
        </r>
      </text>
    </comment>
    <comment ref="I9" authorId="0" shapeId="0" xr:uid="{74B35DA1-6403-4255-859E-DFA8F47795D0}">
      <text>
        <r>
          <rPr>
            <sz val="9"/>
            <color indexed="81"/>
            <rFont val="Tahoma"/>
            <family val="2"/>
          </rPr>
          <t xml:space="preserve">
Not apllicable for the first year</t>
        </r>
      </text>
    </comment>
    <comment ref="J9" authorId="0" shapeId="0" xr:uid="{067916C1-B3D8-42E9-9368-5E478ED4B06C}">
      <text>
        <r>
          <rPr>
            <sz val="9"/>
            <color indexed="81"/>
            <rFont val="Tahoma"/>
            <family val="2"/>
          </rPr>
          <t xml:space="preserve">
Not apllicable for the first year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75980253-8CA1-49EC-BBF5-1B6FD9B01BF0}">
      <text>
        <r>
          <rPr>
            <sz val="9"/>
            <color indexed="81"/>
            <rFont val="Tahoma"/>
            <family val="2"/>
          </rPr>
          <t xml:space="preserve">
Not apllicable for the first year</t>
        </r>
      </text>
    </comment>
    <comment ref="C9" authorId="0" shapeId="0" xr:uid="{9B1D6A59-785E-4C8B-8830-63FA060087BE}">
      <text>
        <r>
          <rPr>
            <sz val="9"/>
            <color indexed="81"/>
            <rFont val="Tahoma"/>
            <family val="2"/>
          </rPr>
          <t xml:space="preserve">
Not apllicable for the first year</t>
        </r>
      </text>
    </comment>
    <comment ref="D9" authorId="0" shapeId="0" xr:uid="{A5A3144C-FA88-4891-8CE6-D55196318B79}">
      <text>
        <r>
          <rPr>
            <sz val="9"/>
            <color indexed="81"/>
            <rFont val="Tahoma"/>
            <family val="2"/>
          </rPr>
          <t xml:space="preserve">
Not apllicable for the first year</t>
        </r>
      </text>
    </comment>
    <comment ref="E9" authorId="0" shapeId="0" xr:uid="{5F1A6B76-F14B-46A7-8236-D861D5E44A57}">
      <text>
        <r>
          <rPr>
            <sz val="9"/>
            <color indexed="81"/>
            <rFont val="Tahoma"/>
            <family val="2"/>
          </rPr>
          <t xml:space="preserve">
Not apllicable for the first year</t>
        </r>
      </text>
    </comment>
    <comment ref="F9" authorId="0" shapeId="0" xr:uid="{10A2EE8A-A6BA-4873-B444-AB9AD7E1644F}">
      <text>
        <r>
          <rPr>
            <sz val="9"/>
            <color indexed="81"/>
            <rFont val="Tahoma"/>
            <family val="2"/>
          </rPr>
          <t xml:space="preserve">
Not apllicable for the first year</t>
        </r>
      </text>
    </comment>
    <comment ref="G9" authorId="0" shapeId="0" xr:uid="{8E2FFE88-F666-4E4E-AD36-146A5E63E962}">
      <text>
        <r>
          <rPr>
            <sz val="9"/>
            <color indexed="81"/>
            <rFont val="Tahoma"/>
            <family val="2"/>
          </rPr>
          <t xml:space="preserve">
Not apllicable for the first year</t>
        </r>
      </text>
    </comment>
    <comment ref="H9" authorId="0" shapeId="0" xr:uid="{1B9E82CF-345D-44DF-914D-F282882E8777}">
      <text>
        <r>
          <rPr>
            <sz val="9"/>
            <color indexed="81"/>
            <rFont val="Tahoma"/>
            <family val="2"/>
          </rPr>
          <t xml:space="preserve">
Not apllicable for the first year</t>
        </r>
      </text>
    </comment>
    <comment ref="I9" authorId="0" shapeId="0" xr:uid="{07B481EE-C3D8-41B1-B136-D18CC5F8772A}">
      <text>
        <r>
          <rPr>
            <sz val="9"/>
            <color indexed="81"/>
            <rFont val="Tahoma"/>
            <family val="2"/>
          </rPr>
          <t xml:space="preserve">
Not apllicable for the first year</t>
        </r>
      </text>
    </comment>
    <comment ref="J9" authorId="0" shapeId="0" xr:uid="{1334DBDF-BE28-4A83-9D22-0D98C6C7D8A7}">
      <text>
        <r>
          <rPr>
            <sz val="9"/>
            <color indexed="81"/>
            <rFont val="Tahoma"/>
            <family val="2"/>
          </rPr>
          <t xml:space="preserve">
Not apllicable for the first year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D4596BD4-BD98-42C8-8BA1-67FF192D9EC7}">
      <text>
        <r>
          <rPr>
            <sz val="9"/>
            <color indexed="81"/>
            <rFont val="Tahoma"/>
            <family val="2"/>
          </rPr>
          <t xml:space="preserve">
Not apllicable for the first year</t>
        </r>
      </text>
    </comment>
    <comment ref="C9" authorId="0" shapeId="0" xr:uid="{CF76BB3E-AB8E-4371-A387-9D1339A1C453}">
      <text>
        <r>
          <rPr>
            <sz val="9"/>
            <color indexed="81"/>
            <rFont val="Tahoma"/>
            <family val="2"/>
          </rPr>
          <t xml:space="preserve">
Not apllicable for the first year</t>
        </r>
      </text>
    </comment>
    <comment ref="D9" authorId="0" shapeId="0" xr:uid="{8DF7089F-014E-4359-907B-1745E5067D79}">
      <text>
        <r>
          <rPr>
            <sz val="9"/>
            <color indexed="81"/>
            <rFont val="Tahoma"/>
            <family val="2"/>
          </rPr>
          <t xml:space="preserve">
Not apllicable for the first year</t>
        </r>
      </text>
    </comment>
    <comment ref="E9" authorId="0" shapeId="0" xr:uid="{03B56E76-58B0-474A-A5F4-F7D636D5A517}">
      <text>
        <r>
          <rPr>
            <sz val="9"/>
            <color indexed="81"/>
            <rFont val="Tahoma"/>
            <family val="2"/>
          </rPr>
          <t xml:space="preserve">
Not apllicable for the first year</t>
        </r>
      </text>
    </comment>
    <comment ref="F9" authorId="0" shapeId="0" xr:uid="{9D6F920B-6804-48DA-84C7-2098862F1BA7}">
      <text>
        <r>
          <rPr>
            <sz val="9"/>
            <color indexed="81"/>
            <rFont val="Tahoma"/>
            <family val="2"/>
          </rPr>
          <t xml:space="preserve">
Not apllicable for the first year</t>
        </r>
      </text>
    </comment>
    <comment ref="G9" authorId="0" shapeId="0" xr:uid="{2BCFF715-41C2-494D-9D6F-E43CEBBE23D8}">
      <text>
        <r>
          <rPr>
            <sz val="9"/>
            <color indexed="81"/>
            <rFont val="Tahoma"/>
            <family val="2"/>
          </rPr>
          <t xml:space="preserve">
Not apllicable for the first year</t>
        </r>
      </text>
    </comment>
    <comment ref="H9" authorId="0" shapeId="0" xr:uid="{22850518-D5DD-4BC4-A170-0E0C1C50BA6F}">
      <text>
        <r>
          <rPr>
            <sz val="9"/>
            <color indexed="81"/>
            <rFont val="Tahoma"/>
            <family val="2"/>
          </rPr>
          <t xml:space="preserve">
Not apllicable for the first year</t>
        </r>
      </text>
    </comment>
    <comment ref="I9" authorId="0" shapeId="0" xr:uid="{B6CC05CD-7121-4BB9-84C8-C1C2474D5D2F}">
      <text>
        <r>
          <rPr>
            <sz val="9"/>
            <color indexed="81"/>
            <rFont val="Tahoma"/>
            <family val="2"/>
          </rPr>
          <t xml:space="preserve">
Not apllicable for the first year</t>
        </r>
      </text>
    </comment>
    <comment ref="J9" authorId="0" shapeId="0" xr:uid="{32794A03-6E96-494C-B72C-10819A30A0DD}">
      <text>
        <r>
          <rPr>
            <sz val="9"/>
            <color indexed="81"/>
            <rFont val="Tahoma"/>
            <family val="2"/>
          </rPr>
          <t xml:space="preserve">
Not apllicable for the first year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842ACB7F-4E53-4BAF-837D-BE0836E9C79C}">
      <text>
        <r>
          <rPr>
            <sz val="9"/>
            <color indexed="81"/>
            <rFont val="Tahoma"/>
            <family val="2"/>
          </rPr>
          <t xml:space="preserve">
Not apllicable for the first year</t>
        </r>
      </text>
    </comment>
    <comment ref="C9" authorId="0" shapeId="0" xr:uid="{42AA39B9-3769-40D0-80E8-AFB6F4F2FC87}">
      <text>
        <r>
          <rPr>
            <sz val="9"/>
            <color indexed="81"/>
            <rFont val="Tahoma"/>
            <family val="2"/>
          </rPr>
          <t xml:space="preserve">
Not apllicable for the first year</t>
        </r>
      </text>
    </comment>
    <comment ref="D9" authorId="0" shapeId="0" xr:uid="{CC20EC48-5AFC-41EB-BBA2-9657D9BA7DAF}">
      <text>
        <r>
          <rPr>
            <sz val="9"/>
            <color indexed="81"/>
            <rFont val="Tahoma"/>
            <family val="2"/>
          </rPr>
          <t xml:space="preserve">
Not apllicable for the first year</t>
        </r>
      </text>
    </comment>
    <comment ref="E9" authorId="0" shapeId="0" xr:uid="{6FD4E485-60EF-44FC-85AC-FE9A944391B0}">
      <text>
        <r>
          <rPr>
            <sz val="9"/>
            <color indexed="81"/>
            <rFont val="Tahoma"/>
            <family val="2"/>
          </rPr>
          <t xml:space="preserve">
Not apllicable for the first year</t>
        </r>
      </text>
    </comment>
    <comment ref="F9" authorId="0" shapeId="0" xr:uid="{2ED065AB-C5B7-4D43-8E5C-162D63F7AE93}">
      <text>
        <r>
          <rPr>
            <sz val="9"/>
            <color indexed="81"/>
            <rFont val="Tahoma"/>
            <family val="2"/>
          </rPr>
          <t xml:space="preserve">
Not apllicable for the first year</t>
        </r>
      </text>
    </comment>
    <comment ref="G9" authorId="0" shapeId="0" xr:uid="{5D9651A4-AC98-462A-96D8-795828BDB278}">
      <text>
        <r>
          <rPr>
            <sz val="9"/>
            <color indexed="81"/>
            <rFont val="Tahoma"/>
            <family val="2"/>
          </rPr>
          <t xml:space="preserve">
Not apllicable for the first year</t>
        </r>
      </text>
    </comment>
    <comment ref="H9" authorId="0" shapeId="0" xr:uid="{A938C5E7-94E1-4770-8ECB-F916EDF1071E}">
      <text>
        <r>
          <rPr>
            <sz val="9"/>
            <color indexed="81"/>
            <rFont val="Tahoma"/>
            <family val="2"/>
          </rPr>
          <t xml:space="preserve">
Not apllicable for the first year</t>
        </r>
      </text>
    </comment>
    <comment ref="I9" authorId="0" shapeId="0" xr:uid="{623ED13C-5DB1-40D9-A129-7922728EC573}">
      <text>
        <r>
          <rPr>
            <sz val="9"/>
            <color indexed="81"/>
            <rFont val="Tahoma"/>
            <family val="2"/>
          </rPr>
          <t xml:space="preserve">
Not apllicable for the first year</t>
        </r>
      </text>
    </comment>
    <comment ref="J9" authorId="0" shapeId="0" xr:uid="{D5ABFEA2-D2DA-4042-A05D-C5C8E8D97B30}">
      <text>
        <r>
          <rPr>
            <sz val="9"/>
            <color indexed="81"/>
            <rFont val="Tahoma"/>
            <family val="2"/>
          </rPr>
          <t xml:space="preserve">
Not apllicable for the first year</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C8FA8FA0-92A4-4BA3-8DFF-ECAB10330DD3}">
      <text>
        <r>
          <rPr>
            <sz val="9"/>
            <color indexed="81"/>
            <rFont val="Tahoma"/>
            <family val="2"/>
          </rPr>
          <t xml:space="preserve">
Not apllicable for the first year</t>
        </r>
      </text>
    </comment>
    <comment ref="C9" authorId="0" shapeId="0" xr:uid="{10675BC4-E481-4475-BD62-6D00AE1C69CF}">
      <text>
        <r>
          <rPr>
            <sz val="9"/>
            <color indexed="81"/>
            <rFont val="Tahoma"/>
            <family val="2"/>
          </rPr>
          <t xml:space="preserve">
Not apllicable for the first year</t>
        </r>
      </text>
    </comment>
    <comment ref="D9" authorId="0" shapeId="0" xr:uid="{3FC1AF98-9359-4A27-88F1-F1FBAE08632B}">
      <text>
        <r>
          <rPr>
            <sz val="9"/>
            <color indexed="81"/>
            <rFont val="Tahoma"/>
            <family val="2"/>
          </rPr>
          <t xml:space="preserve">
Not apllicable for the first year</t>
        </r>
      </text>
    </comment>
    <comment ref="E9" authorId="0" shapeId="0" xr:uid="{975110FD-1D8F-4990-B9E4-8A0885AB16F9}">
      <text>
        <r>
          <rPr>
            <sz val="9"/>
            <color indexed="81"/>
            <rFont val="Tahoma"/>
            <family val="2"/>
          </rPr>
          <t xml:space="preserve">
Not apllicable for the first year</t>
        </r>
      </text>
    </comment>
    <comment ref="F9" authorId="0" shapeId="0" xr:uid="{C03F4FB8-705C-4FC2-B8AC-1E7A49037EAE}">
      <text>
        <r>
          <rPr>
            <sz val="9"/>
            <color indexed="81"/>
            <rFont val="Tahoma"/>
            <family val="2"/>
          </rPr>
          <t xml:space="preserve">
Not apllicable for the first year</t>
        </r>
      </text>
    </comment>
    <comment ref="G9" authorId="0" shapeId="0" xr:uid="{9D4F7BF4-D263-42C4-A529-DA199BDC6147}">
      <text>
        <r>
          <rPr>
            <sz val="9"/>
            <color indexed="81"/>
            <rFont val="Tahoma"/>
            <family val="2"/>
          </rPr>
          <t xml:space="preserve">
Not apllicable for the first year</t>
        </r>
      </text>
    </comment>
    <comment ref="H9" authorId="0" shapeId="0" xr:uid="{FFB2A4A9-4336-4939-B9A3-A215A9A054F1}">
      <text>
        <r>
          <rPr>
            <sz val="9"/>
            <color indexed="81"/>
            <rFont val="Tahoma"/>
            <family val="2"/>
          </rPr>
          <t xml:space="preserve">
Not apllicable for the first year</t>
        </r>
      </text>
    </comment>
    <comment ref="I9" authorId="0" shapeId="0" xr:uid="{53C26F92-7579-48EB-A24F-AB5EA9AFB306}">
      <text>
        <r>
          <rPr>
            <sz val="9"/>
            <color indexed="81"/>
            <rFont val="Tahoma"/>
            <family val="2"/>
          </rPr>
          <t xml:space="preserve">
Not apllicable for the first year</t>
        </r>
      </text>
    </comment>
    <comment ref="J9" authorId="0" shapeId="0" xr:uid="{AD3678FE-7D0C-4439-98BD-1C83A9AB6BC0}">
      <text>
        <r>
          <rPr>
            <sz val="9"/>
            <color indexed="81"/>
            <rFont val="Tahoma"/>
            <family val="2"/>
          </rPr>
          <t xml:space="preserve">
Not apllicable for the first year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392B7057-A9B5-4DCE-BA52-36D9DADC26CE}">
      <text>
        <r>
          <rPr>
            <sz val="9"/>
            <color indexed="81"/>
            <rFont val="Tahoma"/>
            <family val="2"/>
          </rPr>
          <t xml:space="preserve">
Not apllicable for the first year</t>
        </r>
      </text>
    </comment>
    <comment ref="C9" authorId="0" shapeId="0" xr:uid="{385FC113-472F-486B-AA05-49B854D730A8}">
      <text>
        <r>
          <rPr>
            <sz val="9"/>
            <color indexed="81"/>
            <rFont val="Tahoma"/>
            <family val="2"/>
          </rPr>
          <t xml:space="preserve">
Not apllicable for the first year</t>
        </r>
      </text>
    </comment>
    <comment ref="D9" authorId="0" shapeId="0" xr:uid="{DE079841-D305-4472-BAC5-E0590DAF7652}">
      <text>
        <r>
          <rPr>
            <sz val="9"/>
            <color indexed="81"/>
            <rFont val="Tahoma"/>
            <family val="2"/>
          </rPr>
          <t xml:space="preserve">
Not apllicable for the first year</t>
        </r>
      </text>
    </comment>
    <comment ref="E9" authorId="0" shapeId="0" xr:uid="{6DEA9A72-A457-429E-AE59-398C49899BBC}">
      <text>
        <r>
          <rPr>
            <sz val="9"/>
            <color indexed="81"/>
            <rFont val="Tahoma"/>
            <family val="2"/>
          </rPr>
          <t xml:space="preserve">
Not apllicable for the first year</t>
        </r>
      </text>
    </comment>
    <comment ref="F9" authorId="0" shapeId="0" xr:uid="{1991AEF3-5203-4DCF-99D1-EDAFFECBF926}">
      <text>
        <r>
          <rPr>
            <sz val="9"/>
            <color indexed="81"/>
            <rFont val="Tahoma"/>
            <family val="2"/>
          </rPr>
          <t xml:space="preserve">
Not apllicable for the first year</t>
        </r>
      </text>
    </comment>
    <comment ref="G9" authorId="0" shapeId="0" xr:uid="{8BECE352-DB11-43A8-993C-4348C2B6B5A5}">
      <text>
        <r>
          <rPr>
            <sz val="9"/>
            <color indexed="81"/>
            <rFont val="Tahoma"/>
            <family val="2"/>
          </rPr>
          <t xml:space="preserve">
Not apllicable for the first year</t>
        </r>
      </text>
    </comment>
    <comment ref="H9" authorId="0" shapeId="0" xr:uid="{250DB43E-F219-42E1-B386-956B29CF674C}">
      <text>
        <r>
          <rPr>
            <sz val="9"/>
            <color indexed="81"/>
            <rFont val="Tahoma"/>
            <family val="2"/>
          </rPr>
          <t xml:space="preserve">
Not apllicable for the first year</t>
        </r>
      </text>
    </comment>
    <comment ref="I9" authorId="0" shapeId="0" xr:uid="{CE8AC177-A8A5-4031-BC80-833853BD4240}">
      <text>
        <r>
          <rPr>
            <sz val="9"/>
            <color indexed="81"/>
            <rFont val="Tahoma"/>
            <family val="2"/>
          </rPr>
          <t xml:space="preserve">
Not apllicable for the first year</t>
        </r>
      </text>
    </comment>
    <comment ref="J9" authorId="0" shapeId="0" xr:uid="{6C517887-FA79-49EB-94FF-97FE9A9CFE4D}">
      <text>
        <r>
          <rPr>
            <sz val="9"/>
            <color indexed="81"/>
            <rFont val="Tahoma"/>
            <family val="2"/>
          </rPr>
          <t xml:space="preserve">
Not apllicable for the first year</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DI VEROLI Nadia (ESTAT)</author>
  </authors>
  <commentList>
    <comment ref="B9" authorId="0" shapeId="0" xr:uid="{C44A4EDE-CE74-437B-9AA2-ADA0503C199E}">
      <text>
        <r>
          <rPr>
            <sz val="9"/>
            <color indexed="81"/>
            <rFont val="Tahoma"/>
            <family val="2"/>
          </rPr>
          <t xml:space="preserve">
Not apllicable for the first year</t>
        </r>
      </text>
    </comment>
    <comment ref="C9" authorId="0" shapeId="0" xr:uid="{978EA84C-027B-4B9C-A395-71F0828D03D7}">
      <text>
        <r>
          <rPr>
            <sz val="9"/>
            <color indexed="81"/>
            <rFont val="Tahoma"/>
            <family val="2"/>
          </rPr>
          <t xml:space="preserve">
Not apllicable for the first year</t>
        </r>
      </text>
    </comment>
    <comment ref="D9" authorId="0" shapeId="0" xr:uid="{FE9BD3EE-7D4F-4F71-99C8-A0FEE3327F0D}">
      <text>
        <r>
          <rPr>
            <sz val="9"/>
            <color indexed="81"/>
            <rFont val="Tahoma"/>
            <family val="2"/>
          </rPr>
          <t xml:space="preserve">
Not apllicable for the first year</t>
        </r>
      </text>
    </comment>
    <comment ref="E9" authorId="0" shapeId="0" xr:uid="{BDDCE335-9B21-44DE-AE75-CF8FD3B7BBFA}">
      <text>
        <r>
          <rPr>
            <sz val="9"/>
            <color indexed="81"/>
            <rFont val="Tahoma"/>
            <family val="2"/>
          </rPr>
          <t xml:space="preserve">
Not apllicable for the first year</t>
        </r>
      </text>
    </comment>
    <comment ref="F9" authorId="0" shapeId="0" xr:uid="{5E995C7F-25E9-4D68-BDB0-C264ED725CB4}">
      <text>
        <r>
          <rPr>
            <sz val="9"/>
            <color indexed="81"/>
            <rFont val="Tahoma"/>
            <family val="2"/>
          </rPr>
          <t xml:space="preserve">
Not apllicable for the first year</t>
        </r>
      </text>
    </comment>
    <comment ref="G9" authorId="0" shapeId="0" xr:uid="{C6148B9C-485B-47B6-A58C-59CB17B808A6}">
      <text>
        <r>
          <rPr>
            <sz val="9"/>
            <color indexed="81"/>
            <rFont val="Tahoma"/>
            <family val="2"/>
          </rPr>
          <t xml:space="preserve">
Not apllicable for the first year</t>
        </r>
      </text>
    </comment>
    <comment ref="H9" authorId="0" shapeId="0" xr:uid="{B9C2A914-48F1-43A6-A843-6A99DEF5FE8F}">
      <text>
        <r>
          <rPr>
            <sz val="9"/>
            <color indexed="81"/>
            <rFont val="Tahoma"/>
            <family val="2"/>
          </rPr>
          <t xml:space="preserve">
Not apllicable for the first year</t>
        </r>
      </text>
    </comment>
    <comment ref="I9" authorId="0" shapeId="0" xr:uid="{39100CB0-22EF-4B60-B105-9931D9592A8B}">
      <text>
        <r>
          <rPr>
            <sz val="9"/>
            <color indexed="81"/>
            <rFont val="Tahoma"/>
            <family val="2"/>
          </rPr>
          <t xml:space="preserve">
Not apllicable for the first year</t>
        </r>
      </text>
    </comment>
    <comment ref="J9" authorId="0" shapeId="0" xr:uid="{25E25AE0-FDCD-42B0-AE7A-D9AD17DFDFC0}">
      <text>
        <r>
          <rPr>
            <sz val="9"/>
            <color indexed="81"/>
            <rFont val="Tahoma"/>
            <family val="2"/>
          </rPr>
          <t xml:space="preserve">
Not apllicable for the first year</t>
        </r>
      </text>
    </comment>
  </commentList>
</comments>
</file>

<file path=xl/sharedStrings.xml><?xml version="1.0" encoding="utf-8"?>
<sst xmlns="http://schemas.openxmlformats.org/spreadsheetml/2006/main" count="975" uniqueCount="143">
  <si>
    <t>Index</t>
  </si>
  <si>
    <t>Belgium</t>
  </si>
  <si>
    <t>Year</t>
  </si>
  <si>
    <t>Hours worked growth contribution (note 1)</t>
  </si>
  <si>
    <r>
      <rPr>
        <b/>
        <sz val="12"/>
        <color theme="1"/>
        <rFont val="Aptos"/>
        <family val="2"/>
      </rPr>
      <t>Table 1:</t>
    </r>
    <r>
      <rPr>
        <sz val="12"/>
        <color theme="1"/>
        <rFont val="Aptos"/>
        <family val="2"/>
      </rPr>
      <t xml:space="preserve"> MFP, hours worked and capital stock contributions to value added growth rates with underlined data and calculation (monetary values are in millions of national currency and employment in thousands of hours worked)</t>
    </r>
  </si>
  <si>
    <r>
      <rPr>
        <b/>
        <sz val="11"/>
        <color rgb="FF000000"/>
        <rFont val="Aptos"/>
        <family val="2"/>
      </rPr>
      <t>Note 4</t>
    </r>
    <r>
      <rPr>
        <sz val="11"/>
        <color rgb="FF000000"/>
        <rFont val="Aptos"/>
        <family val="2"/>
      </rPr>
      <t xml:space="preserve">: According to literature, growth rates are calculated in natural logarithm (ln)                         </t>
    </r>
  </si>
  <si>
    <t>MFP index (2020=1)</t>
  </si>
  <si>
    <t>MFP growth contribution (note 1)</t>
  </si>
  <si>
    <t>Value added growth rates (ln), in % (note 1)</t>
  </si>
  <si>
    <t>Capital stock (net) growth contribution (note 1)</t>
  </si>
  <si>
    <t>Hours worked growth rates (ln), in % (note 4)</t>
  </si>
  <si>
    <t>Capital stock (net) growth rates (ln), in %  (note 4)</t>
  </si>
  <si>
    <t>Divisia labour income shares (note 3)</t>
  </si>
  <si>
    <t>Divisia capital  income shares (note 3)</t>
  </si>
  <si>
    <t>Labour income shares (note 2)</t>
  </si>
  <si>
    <t>Capital income shares</t>
  </si>
  <si>
    <t xml:space="preserve">Value added - Current prices </t>
  </si>
  <si>
    <t>Value added - Chain linked volumes, 2020</t>
  </si>
  <si>
    <t>Compensation of employees</t>
  </si>
  <si>
    <t>Hours worked - total employment</t>
  </si>
  <si>
    <t>Hours worked employees</t>
  </si>
  <si>
    <t>Capital stock (net) - Chain linked volumes, 2020</t>
  </si>
  <si>
    <t>Multi Factor Productivity (MFP)</t>
  </si>
  <si>
    <r>
      <rPr>
        <b/>
        <sz val="11"/>
        <color rgb="FF000000"/>
        <rFont val="Aptos"/>
        <family val="2"/>
      </rPr>
      <t>Note 1</t>
    </r>
    <r>
      <rPr>
        <sz val="11"/>
        <color rgb="FF000000"/>
        <rFont val="Aptos"/>
        <family val="2"/>
      </rPr>
      <t>: Value added growth rate = Hours worked growth contribution + Capital stock (net) growth contribution + MFP growth contribution</t>
    </r>
  </si>
  <si>
    <r>
      <rPr>
        <b/>
        <sz val="11"/>
        <rFont val="Aptos"/>
        <family val="2"/>
      </rPr>
      <t>Note 2</t>
    </r>
    <r>
      <rPr>
        <sz val="11"/>
        <rFont val="Aptos"/>
        <family val="2"/>
      </rPr>
      <t>: Labour income shares = (compensation of employees/hours worked by employees) x total hours worked</t>
    </r>
  </si>
  <si>
    <r>
      <rPr>
        <b/>
        <sz val="11"/>
        <color rgb="FF000000"/>
        <rFont val="Aptos"/>
        <family val="2"/>
      </rPr>
      <t>Note 3</t>
    </r>
    <r>
      <rPr>
        <sz val="11"/>
        <color rgb="FF000000"/>
        <rFont val="Aptos"/>
        <family val="2"/>
      </rPr>
      <t xml:space="preserve">: According to literature, Divisia shares = (shares at time t + shares at time  t+1) / 2.     </t>
    </r>
  </si>
  <si>
    <t>Denmark</t>
  </si>
  <si>
    <t>Germany</t>
  </si>
  <si>
    <t>European Union</t>
  </si>
  <si>
    <t>Euro area</t>
  </si>
  <si>
    <t>Greece</t>
  </si>
  <si>
    <t>Spain</t>
  </si>
  <si>
    <t>France</t>
  </si>
  <si>
    <t>Ireland</t>
  </si>
  <si>
    <t>Italy</t>
  </si>
  <si>
    <t>Luxembourg</t>
  </si>
  <si>
    <t>Netherlands</t>
  </si>
  <si>
    <t>Austria</t>
  </si>
  <si>
    <t>Portugal</t>
  </si>
  <si>
    <t>Finland</t>
  </si>
  <si>
    <t>Sweden</t>
  </si>
  <si>
    <t>Estonia</t>
  </si>
  <si>
    <t>Cyprus</t>
  </si>
  <si>
    <t>Lithuania</t>
  </si>
  <si>
    <t>Hungary</t>
  </si>
  <si>
    <t>Bulgaria</t>
  </si>
  <si>
    <t>Czechia</t>
  </si>
  <si>
    <t>Croatia</t>
  </si>
  <si>
    <t>Latvia</t>
  </si>
  <si>
    <t>Malta</t>
  </si>
  <si>
    <t>Poland</t>
  </si>
  <si>
    <t>Romania</t>
  </si>
  <si>
    <t>Slovenia</t>
  </si>
  <si>
    <t>Slovakia</t>
  </si>
  <si>
    <t>Norway</t>
  </si>
  <si>
    <r>
      <t xml:space="preserve">Multi Factor Productivity (MFP)
Country: </t>
    </r>
    <r>
      <rPr>
        <b/>
        <sz val="16"/>
        <color rgb="FF0070C0"/>
        <rFont val="Aptos"/>
        <family val="2"/>
      </rPr>
      <t>European Union</t>
    </r>
  </si>
  <si>
    <t>This sheet contains 2 charts with the relevant description in A3 and A5. Underlying data and calculations are presented in in a table below, with table title in A7, and table range A8 to R31. The related notes can be found below the table, in A32 to A35.</t>
  </si>
  <si>
    <r>
      <t xml:space="preserve">Multi Factor Productivity (MFP)
Country: </t>
    </r>
    <r>
      <rPr>
        <b/>
        <sz val="16"/>
        <color rgb="FF0070C0"/>
        <rFont val="Aptos"/>
        <family val="2"/>
      </rPr>
      <t>Belgium</t>
    </r>
  </si>
  <si>
    <r>
      <t xml:space="preserve">Multi Factor Productivity (MFP)
Country: </t>
    </r>
    <r>
      <rPr>
        <b/>
        <sz val="16"/>
        <color rgb="FF0070C0"/>
        <rFont val="Aptos"/>
        <family val="2"/>
      </rPr>
      <t>Bulgaria</t>
    </r>
  </si>
  <si>
    <r>
      <t xml:space="preserve">Multi Factor Productivity (MFP)
Country: </t>
    </r>
    <r>
      <rPr>
        <b/>
        <sz val="16"/>
        <color rgb="FF0070C0"/>
        <rFont val="Aptos"/>
        <family val="2"/>
      </rPr>
      <t>Denmark</t>
    </r>
  </si>
  <si>
    <r>
      <t xml:space="preserve">Multi Factor Productivity (MFP)
Country: </t>
    </r>
    <r>
      <rPr>
        <b/>
        <sz val="16"/>
        <color rgb="FF0070C0"/>
        <rFont val="Aptos"/>
        <family val="2"/>
      </rPr>
      <t>Germany</t>
    </r>
  </si>
  <si>
    <r>
      <t xml:space="preserve">Multi Factor Productivity (MFP)
Country: </t>
    </r>
    <r>
      <rPr>
        <b/>
        <sz val="16"/>
        <color rgb="FF0070C0"/>
        <rFont val="Aptos"/>
        <family val="2"/>
      </rPr>
      <t>Estonia</t>
    </r>
  </si>
  <si>
    <r>
      <t xml:space="preserve">Multi Factor Productivity (MFP)
Country: </t>
    </r>
    <r>
      <rPr>
        <b/>
        <sz val="16"/>
        <color rgb="FF0070C0"/>
        <rFont val="Aptos"/>
        <family val="2"/>
      </rPr>
      <t>Ireland</t>
    </r>
  </si>
  <si>
    <r>
      <t xml:space="preserve">Multi Factor Productivity (MFP)
Country: </t>
    </r>
    <r>
      <rPr>
        <b/>
        <sz val="16"/>
        <color rgb="FF0070C0"/>
        <rFont val="Aptos"/>
        <family val="2"/>
      </rPr>
      <t>Greece</t>
    </r>
  </si>
  <si>
    <r>
      <t xml:space="preserve">Multi Factor Productivity (MFP)
Country: </t>
    </r>
    <r>
      <rPr>
        <b/>
        <sz val="16"/>
        <color rgb="FF0070C0"/>
        <rFont val="Aptos"/>
        <family val="2"/>
      </rPr>
      <t>Spain</t>
    </r>
  </si>
  <si>
    <r>
      <t xml:space="preserve">Multi Factor Productivity (MFP)
Country: </t>
    </r>
    <r>
      <rPr>
        <b/>
        <sz val="16"/>
        <color rgb="FF0070C0"/>
        <rFont val="Aptos"/>
        <family val="2"/>
      </rPr>
      <t>France</t>
    </r>
  </si>
  <si>
    <r>
      <t xml:space="preserve">Multi Factor Productivity (MFP)
Country: </t>
    </r>
    <r>
      <rPr>
        <b/>
        <sz val="16"/>
        <color rgb="FF0070C0"/>
        <rFont val="Aptos"/>
        <family val="2"/>
      </rPr>
      <t>Croatia</t>
    </r>
  </si>
  <si>
    <r>
      <t xml:space="preserve">Multi Factor Productivity (MFP)
Country: </t>
    </r>
    <r>
      <rPr>
        <b/>
        <sz val="16"/>
        <color rgb="FF0070C0"/>
        <rFont val="Aptos"/>
        <family val="2"/>
      </rPr>
      <t>Italy</t>
    </r>
  </si>
  <si>
    <r>
      <t xml:space="preserve">Multi Factor Productivity (MFP)
Country: </t>
    </r>
    <r>
      <rPr>
        <b/>
        <sz val="16"/>
        <color rgb="FF0070C0"/>
        <rFont val="Aptos"/>
        <family val="2"/>
      </rPr>
      <t>Cyprus</t>
    </r>
  </si>
  <si>
    <r>
      <t xml:space="preserve">Multi Factor Productivity (MFP)
Country: </t>
    </r>
    <r>
      <rPr>
        <b/>
        <sz val="16"/>
        <color rgb="FF0070C0"/>
        <rFont val="Aptos"/>
        <family val="2"/>
      </rPr>
      <t>Latvia</t>
    </r>
  </si>
  <si>
    <r>
      <t xml:space="preserve">Multi Factor Productivity (MFP)
Country: </t>
    </r>
    <r>
      <rPr>
        <b/>
        <sz val="16"/>
        <color rgb="FF0070C0"/>
        <rFont val="Aptos"/>
        <family val="2"/>
      </rPr>
      <t>Luxembourg</t>
    </r>
  </si>
  <si>
    <r>
      <t xml:space="preserve">Multi Factor Productivity (MFP)
Country: </t>
    </r>
    <r>
      <rPr>
        <b/>
        <sz val="16"/>
        <color rgb="FF0070C0"/>
        <rFont val="Aptos"/>
        <family val="2"/>
      </rPr>
      <t>Hungary</t>
    </r>
  </si>
  <si>
    <r>
      <t xml:space="preserve">Multi Factor Productivity (MFP)
Country: </t>
    </r>
    <r>
      <rPr>
        <b/>
        <sz val="16"/>
        <color rgb="FF0070C0"/>
        <rFont val="Aptos"/>
        <family val="2"/>
      </rPr>
      <t>Malta</t>
    </r>
  </si>
  <si>
    <r>
      <t xml:space="preserve">Multi Factor Productivity (MFP)
Country: </t>
    </r>
    <r>
      <rPr>
        <b/>
        <sz val="16"/>
        <color rgb="FF0070C0"/>
        <rFont val="Aptos"/>
        <family val="2"/>
      </rPr>
      <t>Netherlands</t>
    </r>
  </si>
  <si>
    <r>
      <t xml:space="preserve">Multi Factor Productivity (MFP)
Country: </t>
    </r>
    <r>
      <rPr>
        <b/>
        <sz val="16"/>
        <color rgb="FF0070C0"/>
        <rFont val="Aptos"/>
        <family val="2"/>
      </rPr>
      <t>Austria</t>
    </r>
  </si>
  <si>
    <r>
      <t xml:space="preserve">Multi Factor Productivity (MFP)
Country: </t>
    </r>
    <r>
      <rPr>
        <b/>
        <sz val="16"/>
        <color rgb="FF0070C0"/>
        <rFont val="Aptos"/>
        <family val="2"/>
      </rPr>
      <t>Poland</t>
    </r>
  </si>
  <si>
    <r>
      <t xml:space="preserve">Multi Factor Productivity (MFP)
Country: </t>
    </r>
    <r>
      <rPr>
        <b/>
        <sz val="16"/>
        <color rgb="FF0070C0"/>
        <rFont val="Aptos"/>
        <family val="2"/>
      </rPr>
      <t>Portugal</t>
    </r>
  </si>
  <si>
    <r>
      <t xml:space="preserve">Multi Factor Productivity (MFP)
Country: </t>
    </r>
    <r>
      <rPr>
        <b/>
        <sz val="16"/>
        <color rgb="FF0070C0"/>
        <rFont val="Aptos"/>
        <family val="2"/>
      </rPr>
      <t>Romania</t>
    </r>
  </si>
  <si>
    <r>
      <t xml:space="preserve">Multi Factor Productivity (MFP)
Country: </t>
    </r>
    <r>
      <rPr>
        <b/>
        <sz val="16"/>
        <color rgb="FF0070C0"/>
        <rFont val="Aptos"/>
        <family val="2"/>
      </rPr>
      <t>Slovenia</t>
    </r>
  </si>
  <si>
    <r>
      <t xml:space="preserve">Multi Factor Productivity (MFP)
Country: </t>
    </r>
    <r>
      <rPr>
        <b/>
        <sz val="16"/>
        <color rgb="FF0070C0"/>
        <rFont val="Aptos"/>
        <family val="2"/>
      </rPr>
      <t>Slovakia</t>
    </r>
  </si>
  <si>
    <r>
      <t xml:space="preserve">Multi Factor Productivity (MFP)
Country: </t>
    </r>
    <r>
      <rPr>
        <b/>
        <sz val="16"/>
        <color rgb="FF0070C0"/>
        <rFont val="Aptos"/>
        <family val="2"/>
      </rPr>
      <t>Finland</t>
    </r>
  </si>
  <si>
    <r>
      <t xml:space="preserve">Multi Factor Productivity (MFP)
Country: </t>
    </r>
    <r>
      <rPr>
        <b/>
        <sz val="16"/>
        <color rgb="FF0070C0"/>
        <rFont val="Aptos"/>
        <family val="2"/>
      </rPr>
      <t>Sweden</t>
    </r>
  </si>
  <si>
    <r>
      <t xml:space="preserve">Multi Factor Productivity (MFP)
Country: </t>
    </r>
    <r>
      <rPr>
        <b/>
        <sz val="16"/>
        <color rgb="FF0070C0"/>
        <rFont val="Aptos"/>
        <family val="2"/>
      </rPr>
      <t>Norway</t>
    </r>
  </si>
  <si>
    <r>
      <t xml:space="preserve">Multi Factor Productivity (MFP)
Country: </t>
    </r>
    <r>
      <rPr>
        <b/>
        <sz val="16"/>
        <color rgb="FF0070C0"/>
        <rFont val="Aptos"/>
        <family val="2"/>
      </rPr>
      <t>Czechia</t>
    </r>
  </si>
  <si>
    <r>
      <t xml:space="preserve">Multi Factor Productivity (MFP)
Country: </t>
    </r>
    <r>
      <rPr>
        <b/>
        <sz val="16"/>
        <color rgb="FF0070C0"/>
        <rFont val="Aptos"/>
        <family val="2"/>
      </rPr>
      <t>Lithuania</t>
    </r>
  </si>
  <si>
    <t>Hours Worked</t>
  </si>
  <si>
    <t>Capital Stock (net)</t>
  </si>
  <si>
    <t>2002-2022</t>
  </si>
  <si>
    <t>2002-2010</t>
  </si>
  <si>
    <t>2011-2022</t>
  </si>
  <si>
    <t>EU</t>
  </si>
  <si>
    <t>EA</t>
  </si>
  <si>
    <t>BE</t>
  </si>
  <si>
    <t>BG</t>
  </si>
  <si>
    <t>CZ</t>
  </si>
  <si>
    <t>DK</t>
  </si>
  <si>
    <t>DE</t>
  </si>
  <si>
    <t>EE</t>
  </si>
  <si>
    <t>IE</t>
  </si>
  <si>
    <t>EL</t>
  </si>
  <si>
    <t>ES</t>
  </si>
  <si>
    <t>FR</t>
  </si>
  <si>
    <t>HR</t>
  </si>
  <si>
    <t>IT</t>
  </si>
  <si>
    <t>CY</t>
  </si>
  <si>
    <t>LV</t>
  </si>
  <si>
    <t>LT</t>
  </si>
  <si>
    <t>LU</t>
  </si>
  <si>
    <t>HU</t>
  </si>
  <si>
    <t>MT</t>
  </si>
  <si>
    <t>NL</t>
  </si>
  <si>
    <t>AT</t>
  </si>
  <si>
    <t>PL</t>
  </si>
  <si>
    <t>PT</t>
  </si>
  <si>
    <t>RO</t>
  </si>
  <si>
    <t>SI</t>
  </si>
  <si>
    <t>SK</t>
  </si>
  <si>
    <t>FI</t>
  </si>
  <si>
    <t>SE</t>
  </si>
  <si>
    <t>NO</t>
  </si>
  <si>
    <t>GVA growth</t>
  </si>
  <si>
    <r>
      <t xml:space="preserve">Growth decomposition
</t>
    </r>
    <r>
      <rPr>
        <b/>
        <sz val="16"/>
        <color rgb="FF1E88E5"/>
        <rFont val="Aptos"/>
        <family val="2"/>
      </rPr>
      <t>Cross-country comparison</t>
    </r>
  </si>
  <si>
    <t xml:space="preserve">Period </t>
  </si>
  <si>
    <t>Indicator</t>
  </si>
  <si>
    <t>Cross country comparisons</t>
  </si>
  <si>
    <t>MFP</t>
  </si>
  <si>
    <t xml:space="preserve"> MFP</t>
  </si>
  <si>
    <r>
      <rPr>
        <b/>
        <sz val="12"/>
        <color theme="1"/>
        <rFont val="Aptos"/>
        <family val="2"/>
      </rPr>
      <t>Table 1:</t>
    </r>
    <r>
      <rPr>
        <sz val="12"/>
        <color theme="1"/>
        <rFont val="Aptos"/>
        <family val="2"/>
      </rPr>
      <t xml:space="preserve"> Hours worked, capital stock and MFP contributions to value added growth rates -  Annual average  growth rates and contributions calculated for the period 2002 to 2022 from the area or country specific sheets. </t>
    </r>
  </si>
  <si>
    <r>
      <rPr>
        <b/>
        <sz val="12"/>
        <color theme="1"/>
        <rFont val="Aptos"/>
        <family val="2"/>
      </rPr>
      <t>Table 3:</t>
    </r>
    <r>
      <rPr>
        <sz val="12"/>
        <color theme="1"/>
        <rFont val="Aptos"/>
        <family val="2"/>
      </rPr>
      <t xml:space="preserve"> Hours worked, capital stock and MFP contributions to value added growth rates -  Annual average  growth rates and contributions calculated for the period 2011 to 2022 from the area or country specific sheets. </t>
    </r>
  </si>
  <si>
    <r>
      <rPr>
        <b/>
        <sz val="12"/>
        <color theme="1"/>
        <rFont val="Aptos"/>
        <family val="2"/>
      </rPr>
      <t>Table 2:</t>
    </r>
    <r>
      <rPr>
        <sz val="12"/>
        <color theme="1"/>
        <rFont val="Aptos"/>
        <family val="2"/>
      </rPr>
      <t xml:space="preserve"> Hours worked, capital stock and MFP contributions  to value added growth rates -  Annual average  growth rates and contributions calculated for the period 2002 to 2010 from the area or country specific sheets. </t>
    </r>
  </si>
  <si>
    <r>
      <rPr>
        <b/>
        <sz val="12"/>
        <color theme="1"/>
        <rFont val="Aptos"/>
        <family val="2"/>
      </rPr>
      <t>Chart 1</t>
    </r>
    <r>
      <rPr>
        <sz val="12"/>
        <color theme="1"/>
        <rFont val="Aptos"/>
        <family val="2"/>
      </rPr>
      <t xml:space="preserve"> shows the annual average contributions of hours worked, net capital stocks and multifactor productivity (MFP) to the annual average growth of value added (represented as dot). The growth rates and the contributions are calculated as an annual average for the period  for the period 2002 to 2022. The x-axis represents the EU, euro area, all EU countries and Norway and the y-axis the percentage change.</t>
    </r>
  </si>
  <si>
    <r>
      <rPr>
        <b/>
        <sz val="12"/>
        <color theme="1"/>
        <rFont val="Aptos"/>
        <family val="2"/>
      </rPr>
      <t>Chart 2</t>
    </r>
    <r>
      <rPr>
        <sz val="12"/>
        <color theme="1"/>
        <rFont val="Aptos"/>
        <family val="2"/>
      </rPr>
      <t xml:space="preserve"> shows the annual average contributions of hours worked, net capital stocks and multifactor productivity (MFP) to the annual average growth of value added (represented as dot).The growth rates and the contributions are calculated as an annual average for the period  2002 to 2010. The x-axis represents the EU, euro area, all EU countries and Norway and the y-axis the percentage change.</t>
    </r>
  </si>
  <si>
    <r>
      <rPr>
        <b/>
        <sz val="12"/>
        <color theme="1"/>
        <rFont val="Aptos"/>
        <family val="2"/>
      </rPr>
      <t>Chart 3</t>
    </r>
    <r>
      <rPr>
        <sz val="12"/>
        <color theme="1"/>
        <rFont val="Aptos"/>
        <family val="2"/>
      </rPr>
      <t xml:space="preserve"> shows  contributions of hours worked, net capital stocks and multifactor productivity (MFP) to the annual growth of value added (represented as dot).The growth rates and the contributions are calculated as an annual average for the period 2011 to 2022. The x-axis represents the EU, euro area, all EU countries and Norway and the y-axis the percentage change.</t>
    </r>
  </si>
  <si>
    <r>
      <rPr>
        <b/>
        <sz val="12"/>
        <color theme="1"/>
        <rFont val="Aptos"/>
        <family val="2"/>
      </rPr>
      <t>Chart 1</t>
    </r>
    <r>
      <rPr>
        <sz val="12"/>
        <color theme="1"/>
        <rFont val="Aptos"/>
        <family val="2"/>
      </rPr>
      <t xml:space="preserve"> illustrates the MFP growth contribution in percentage from 2002 to 2022. The x-axis represents the years and the y-axis the percentage change.</t>
    </r>
  </si>
  <si>
    <r>
      <t>Chart 1</t>
    </r>
    <r>
      <rPr>
        <sz val="12"/>
        <color theme="1"/>
        <rFont val="Aptos"/>
        <family val="2"/>
      </rPr>
      <t xml:space="preserve"> illustrates the MFP growth contribution in percentage from 2002 to 2022. The x-axis represents the years and the y-axis the percentage change.</t>
    </r>
  </si>
  <si>
    <r>
      <rPr>
        <b/>
        <sz val="12"/>
        <color theme="1"/>
        <rFont val="Aptos"/>
        <family val="2"/>
      </rPr>
      <t>Chart 2</t>
    </r>
    <r>
      <rPr>
        <sz val="12"/>
        <color theme="1"/>
        <rFont val="Aptos"/>
        <family val="2"/>
      </rPr>
      <t xml:space="preserve"> illustrates the growth of value-added from 2002 to 2022, broken down into contributions of hours worked, net capital stock, and MFP. The x-axis represents the years and the y-axis the percentage change.</t>
    </r>
  </si>
  <si>
    <r>
      <t>Chart 2</t>
    </r>
    <r>
      <rPr>
        <sz val="12"/>
        <color theme="1"/>
        <rFont val="Aptos"/>
        <family val="2"/>
      </rPr>
      <t xml:space="preserve"> illustrates the growth of value-added from 2002 to 2022, broken down into contributions of hours worked, net capital stock, and MFP. The x-axis represents the years and the y-axis the percentage change.</t>
    </r>
  </si>
  <si>
    <t>Last update: September 2025</t>
  </si>
  <si>
    <t>https://ec.europa.eu/eurostat/web/experimental-statistics/multifactor-productivity</t>
  </si>
  <si>
    <r>
      <rPr>
        <b/>
        <sz val="12"/>
        <rFont val="Aptos"/>
        <family val="2"/>
      </rPr>
      <t>European Commission, EUROSTAT</t>
    </r>
    <r>
      <rPr>
        <sz val="12"/>
        <rFont val="Aptos"/>
        <family val="2"/>
      </rPr>
      <t>, Directorate C: Macro-economic statistics,
Unit C.2: National Accounts Production</t>
    </r>
  </si>
  <si>
    <t xml:space="preserve">This excel file presents a MFP indicator for the total economy based directly on national accounts data, notably gross value added, hours worked and net capital stocks. Charts as well as underlying data and calculations are presented on separate worksheets for cross country comparisons, the EU, the euro area, the EU Member States and Norway. They are accessible via links below. Further information on the methodology is available on Eurostat's website: </t>
  </si>
  <si>
    <t>This sheet presents 3 charts comparing the drivers of gross value added (GVA) growth across countries over different time periods. Descriptions relevant to each chart are provided in cells A3, A5 and A7. Underlying data for Chart 1 is presented in table 1 (title in A9 and  table range A10 to E41), for Chart 2 data is  presented in table 2 (title in A43 and  table range A44 to E75) and for Chart 3 are presented in table 3 (title in A77 and table range A78 to  E109) .</t>
  </si>
  <si>
    <t>This sheet contains 2 charts with the relevant description in A3 and A5. Underlying data and calculations are presented in a table below, with table title in A7, and table range A8 to R31. The related notes can be found below the table, in A32 to A35.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</si>
</sst>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53"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
      <u/>
      <sz val="10"/>
      <color theme="10"/>
      <name val="Arial"/>
      <family val="2"/>
    </font>
    <font>
      <sz val="10"/>
      <color rgb="FFFF0000"/>
      <name val="Arial"/>
      <family val="2"/>
    </font>
    <font>
      <sz val="10"/>
      <color rgb="FF000000"/>
      <name val="Arial"/>
      <family val="2"/>
    </font>
    <font>
      <sz val="11"/>
      <color theme="1"/>
      <name val="Aptos"/>
      <family val="2"/>
    </font>
    <font>
      <sz val="12"/>
      <color theme="1"/>
      <name val="Aptos"/>
      <family val="2"/>
    </font>
    <font>
      <b/>
      <sz val="16"/>
      <color theme="1"/>
      <name val="Aptos"/>
      <family val="2"/>
    </font>
    <font>
      <b/>
      <sz val="11"/>
      <color theme="0"/>
      <name val="Aptos"/>
      <family val="2"/>
    </font>
    <font>
      <b/>
      <sz val="12"/>
      <color theme="1"/>
      <name val="Aptos"/>
      <family val="2"/>
    </font>
    <font>
      <sz val="11"/>
      <color rgb="FF000000"/>
      <name val="Aptos"/>
      <family val="2"/>
    </font>
    <font>
      <b/>
      <sz val="11"/>
      <color rgb="FF000000"/>
      <name val="Aptos"/>
      <family val="2"/>
    </font>
    <font>
      <sz val="11"/>
      <name val="Aptos"/>
      <family val="2"/>
    </font>
    <font>
      <sz val="9"/>
      <color indexed="81"/>
      <name val="Tahoma"/>
      <family val="2"/>
    </font>
    <font>
      <sz val="12"/>
      <color rgb="FF000000"/>
      <name val="Aptos"/>
      <family val="2"/>
    </font>
    <font>
      <u/>
      <sz val="12"/>
      <color theme="10"/>
      <name val="Aptos"/>
      <family val="2"/>
    </font>
    <font>
      <b/>
      <sz val="11"/>
      <name val="Aptos"/>
      <family val="2"/>
    </font>
    <font>
      <sz val="12"/>
      <name val="Aptos"/>
      <family val="2"/>
    </font>
    <font>
      <b/>
      <sz val="12"/>
      <name val="Aptos"/>
      <family val="2"/>
    </font>
    <font>
      <b/>
      <sz val="16"/>
      <color rgb="FF0070C0"/>
      <name val="Aptos"/>
      <family val="2"/>
    </font>
    <font>
      <b/>
      <sz val="16"/>
      <color rgb="FF1E88E5"/>
      <name val="Aptos"/>
      <family val="2"/>
    </font>
    <font>
      <sz val="14"/>
      <color rgb="FFFF0000"/>
      <name val="Arial"/>
      <family val="2"/>
    </font>
    <font>
      <sz val="14"/>
      <color theme="1"/>
      <name val="Arial"/>
      <family val="2"/>
    </font>
    <font>
      <sz val="11"/>
      <color rgb="FFFF0000"/>
      <name val="Arial"/>
      <family val="2"/>
    </font>
    <font>
      <b/>
      <sz val="22"/>
      <color theme="1"/>
      <name val="Apto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79998168889431442"/>
        <bgColor theme="8" tint="0.79998168889431442"/>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op>
      <bottom/>
      <diagonal/>
    </border>
    <border>
      <left/>
      <right/>
      <top style="thin">
        <color theme="8"/>
      </top>
      <bottom style="medium">
        <color theme="1"/>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style="thin">
        <color theme="8"/>
      </left>
      <right style="thin">
        <color theme="8"/>
      </right>
      <top style="thin">
        <color theme="8"/>
      </top>
      <bottom style="thin">
        <color theme="8"/>
      </bottom>
      <diagonal/>
    </border>
    <border>
      <left style="thin">
        <color theme="8"/>
      </left>
      <right style="medium">
        <color indexed="64"/>
      </right>
      <top style="thin">
        <color theme="8"/>
      </top>
      <bottom style="thin">
        <color theme="8"/>
      </bottom>
      <diagonal/>
    </border>
    <border>
      <left style="medium">
        <color indexed="64"/>
      </left>
      <right style="medium">
        <color indexed="64"/>
      </right>
      <top style="medium">
        <color indexed="64"/>
      </top>
      <bottom style="medium">
        <color indexed="64"/>
      </bottom>
      <diagonal/>
    </border>
    <border>
      <left style="thin">
        <color theme="8"/>
      </left>
      <right style="thin">
        <color theme="8"/>
      </right>
      <top/>
      <bottom style="thin">
        <color theme="8"/>
      </bottom>
      <diagonal/>
    </border>
    <border>
      <left style="medium">
        <color indexed="64"/>
      </left>
      <right style="thin">
        <color theme="8"/>
      </right>
      <top style="medium">
        <color indexed="64"/>
      </top>
      <bottom style="medium">
        <color theme="8"/>
      </bottom>
      <diagonal/>
    </border>
    <border>
      <left style="thin">
        <color theme="8"/>
      </left>
      <right style="thin">
        <color theme="8"/>
      </right>
      <top style="medium">
        <color indexed="64"/>
      </top>
      <bottom style="medium">
        <color theme="8"/>
      </bottom>
      <diagonal/>
    </border>
    <border>
      <left style="thin">
        <color theme="8"/>
      </left>
      <right style="medium">
        <color indexed="64"/>
      </right>
      <top style="medium">
        <color indexed="64"/>
      </top>
      <bottom style="medium">
        <color theme="8"/>
      </bottom>
      <diagonal/>
    </border>
    <border>
      <left style="medium">
        <color indexed="64"/>
      </left>
      <right style="thin">
        <color theme="8"/>
      </right>
      <top style="thin">
        <color theme="8"/>
      </top>
      <bottom style="thin">
        <color theme="8"/>
      </bottom>
      <diagonal/>
    </border>
    <border>
      <left style="medium">
        <color indexed="64"/>
      </left>
      <right style="thin">
        <color theme="8"/>
      </right>
      <top style="thin">
        <color theme="8"/>
      </top>
      <bottom style="medium">
        <color indexed="64"/>
      </bottom>
      <diagonal/>
    </border>
    <border>
      <left style="thin">
        <color theme="8"/>
      </left>
      <right style="thin">
        <color theme="8"/>
      </right>
      <top style="thin">
        <color theme="8"/>
      </top>
      <bottom style="medium">
        <color indexed="64"/>
      </bottom>
      <diagonal/>
    </border>
    <border>
      <left style="thin">
        <color theme="8"/>
      </left>
      <right style="medium">
        <color indexed="64"/>
      </right>
      <top style="thin">
        <color theme="8"/>
      </top>
      <bottom style="medium">
        <color indexed="64"/>
      </bottom>
      <diagonal/>
    </border>
    <border>
      <left style="thin">
        <color theme="8"/>
      </left>
      <right style="thin">
        <color theme="8"/>
      </right>
      <top style="thin">
        <color theme="8"/>
      </top>
      <bottom/>
      <diagonal/>
    </border>
    <border>
      <left style="medium">
        <color indexed="64"/>
      </left>
      <right style="thin">
        <color theme="8"/>
      </right>
      <top style="medium">
        <color indexed="64"/>
      </top>
      <bottom style="medium">
        <color indexed="64"/>
      </bottom>
      <diagonal/>
    </border>
    <border>
      <left style="thin">
        <color theme="8"/>
      </left>
      <right style="thin">
        <color theme="8"/>
      </right>
      <top style="medium">
        <color indexed="64"/>
      </top>
      <bottom style="medium">
        <color indexed="64"/>
      </bottom>
      <diagonal/>
    </border>
    <border>
      <left style="thin">
        <color theme="8"/>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theme="8"/>
      </bottom>
      <diagonal/>
    </border>
    <border>
      <left style="medium">
        <color indexed="64"/>
      </left>
      <right style="medium">
        <color indexed="64"/>
      </right>
      <top style="thin">
        <color theme="8"/>
      </top>
      <bottom style="thin">
        <color theme="8"/>
      </bottom>
      <diagonal/>
    </border>
    <border>
      <left style="medium">
        <color indexed="64"/>
      </left>
      <right style="medium">
        <color indexed="64"/>
      </right>
      <top style="thin">
        <color theme="8"/>
      </top>
      <bottom style="medium">
        <color indexed="64"/>
      </bottom>
      <diagonal/>
    </border>
    <border>
      <left style="medium">
        <color indexed="64"/>
      </left>
      <right style="medium">
        <color indexed="64"/>
      </right>
      <top/>
      <bottom style="thin">
        <color theme="8"/>
      </bottom>
      <diagonal/>
    </border>
    <border>
      <left style="medium">
        <color indexed="64"/>
      </left>
      <right style="medium">
        <color indexed="64"/>
      </right>
      <top style="thin">
        <color theme="8"/>
      </top>
      <bottom/>
      <diagonal/>
    </border>
    <border>
      <left style="medium">
        <color indexed="64"/>
      </left>
      <right style="thin">
        <color theme="8"/>
      </right>
      <top/>
      <bottom style="thin">
        <color theme="8"/>
      </bottom>
      <diagonal/>
    </border>
    <border>
      <left style="thin">
        <color theme="8"/>
      </left>
      <right style="medium">
        <color indexed="64"/>
      </right>
      <top/>
      <bottom style="thin">
        <color theme="8"/>
      </bottom>
      <diagonal/>
    </border>
    <border>
      <left style="medium">
        <color indexed="64"/>
      </left>
      <right style="thin">
        <color theme="8"/>
      </right>
      <top style="thin">
        <color theme="8"/>
      </top>
      <bottom/>
      <diagonal/>
    </border>
    <border>
      <left style="thin">
        <color theme="8"/>
      </left>
      <right style="medium">
        <color indexed="64"/>
      </right>
      <top style="thin">
        <color theme="8"/>
      </top>
      <bottom/>
      <diagonal/>
    </border>
  </borders>
  <cellStyleXfs count="321">
    <xf numFmtId="0" fontId="0" fillId="0" borderId="0"/>
    <xf numFmtId="0" fontId="12" fillId="0" borderId="0" applyNumberFormat="0" applyFill="0" applyBorder="0" applyAlignment="0" applyProtection="0"/>
    <xf numFmtId="0" fontId="13" fillId="0" borderId="1" applyNumberFormat="0" applyFill="0" applyAlignment="0" applyProtection="0"/>
    <xf numFmtId="0" fontId="14" fillId="0" borderId="2" applyNumberFormat="0" applyFill="0" applyAlignment="0" applyProtection="0"/>
    <xf numFmtId="0" fontId="15" fillId="0" borderId="3" applyNumberFormat="0" applyFill="0" applyAlignment="0" applyProtection="0"/>
    <xf numFmtId="0" fontId="15" fillId="0" borderId="0" applyNumberFormat="0" applyFill="0" applyBorder="0" applyAlignment="0" applyProtection="0"/>
    <xf numFmtId="0" fontId="16" fillId="2" borderId="0" applyNumberFormat="0" applyBorder="0" applyAlignment="0" applyProtection="0"/>
    <xf numFmtId="0" fontId="17" fillId="3" borderId="0" applyNumberFormat="0" applyBorder="0" applyAlignment="0" applyProtection="0"/>
    <xf numFmtId="0" fontId="18" fillId="4" borderId="0" applyNumberFormat="0" applyBorder="0" applyAlignment="0" applyProtection="0"/>
    <xf numFmtId="0" fontId="19" fillId="5" borderId="4" applyNumberFormat="0" applyAlignment="0" applyProtection="0"/>
    <xf numFmtId="0" fontId="20" fillId="6" borderId="5" applyNumberFormat="0" applyAlignment="0" applyProtection="0"/>
    <xf numFmtId="0" fontId="21" fillId="6" borderId="4" applyNumberFormat="0" applyAlignment="0" applyProtection="0"/>
    <xf numFmtId="0" fontId="22" fillId="0" borderId="6" applyNumberFormat="0" applyFill="0" applyAlignment="0" applyProtection="0"/>
    <xf numFmtId="0" fontId="23" fillId="7" borderId="7"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27" fillId="32" borderId="0" applyNumberFormat="0" applyBorder="0" applyAlignment="0" applyProtection="0"/>
    <xf numFmtId="0" fontId="11" fillId="0" borderId="0"/>
    <xf numFmtId="0" fontId="11" fillId="8" borderId="8" applyNumberFormat="0" applyFont="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9" fillId="0" borderId="0"/>
    <xf numFmtId="0" fontId="9" fillId="8" borderId="8" applyNumberFormat="0" applyFont="0" applyAlignment="0" applyProtection="0"/>
    <xf numFmtId="0" fontId="9" fillId="10" borderId="0" applyNumberFormat="0" applyBorder="0" applyAlignment="0" applyProtection="0"/>
    <xf numFmtId="0" fontId="9" fillId="11"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8" fillId="0" borderId="0"/>
    <xf numFmtId="0" fontId="8" fillId="8" borderId="8" applyNumberFormat="0" applyFont="0" applyAlignment="0" applyProtection="0"/>
    <xf numFmtId="0" fontId="8" fillId="10"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7" fillId="0" borderId="0"/>
    <xf numFmtId="0" fontId="7" fillId="8" borderId="8" applyNumberFormat="0" applyFon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8" fillId="0" borderId="0"/>
    <xf numFmtId="0" fontId="7" fillId="0" borderId="0"/>
    <xf numFmtId="0" fontId="7" fillId="8" borderId="8" applyNumberFormat="0" applyFont="0" applyAlignment="0" applyProtection="0"/>
    <xf numFmtId="0" fontId="7" fillId="0" borderId="0"/>
    <xf numFmtId="0" fontId="7" fillId="8" borderId="8" applyNumberFormat="0" applyFon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0" borderId="0"/>
    <xf numFmtId="0" fontId="7" fillId="8" borderId="8" applyNumberFormat="0" applyFon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0" borderId="0"/>
    <xf numFmtId="0" fontId="7" fillId="8" borderId="8" applyNumberFormat="0" applyFon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8" fillId="0" borderId="0"/>
    <xf numFmtId="0" fontId="5" fillId="0" borderId="0"/>
    <xf numFmtId="0" fontId="5" fillId="8" borderId="8" applyNumberFormat="0" applyFont="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8" borderId="8" applyNumberFormat="0" applyFont="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 fillId="0" borderId="0"/>
    <xf numFmtId="0" fontId="2" fillId="0" borderId="0"/>
    <xf numFmtId="0" fontId="1" fillId="0" borderId="0"/>
    <xf numFmtId="0" fontId="30" fillId="0" borderId="0" applyNumberFormat="0" applyFill="0" applyBorder="0" applyAlignment="0" applyProtection="0"/>
  </cellStyleXfs>
  <cellXfs count="98">
    <xf numFmtId="0" fontId="0" fillId="0" borderId="0" xfId="0"/>
    <xf numFmtId="0" fontId="31" fillId="0" borderId="0" xfId="0" applyFont="1" applyAlignment="1">
      <alignment horizontal="left"/>
    </xf>
    <xf numFmtId="0" fontId="0" fillId="0" borderId="0" xfId="57" applyFont="1"/>
    <xf numFmtId="0" fontId="28" fillId="0" borderId="0" xfId="319" applyFont="1" applyAlignment="1">
      <alignment wrapText="1"/>
    </xf>
    <xf numFmtId="0" fontId="29" fillId="0" borderId="0" xfId="319" applyFont="1" applyAlignment="1">
      <alignment wrapText="1"/>
    </xf>
    <xf numFmtId="0" fontId="29" fillId="0" borderId="0" xfId="319" applyFont="1" applyAlignment="1">
      <alignment horizontal="center" wrapText="1"/>
    </xf>
    <xf numFmtId="0" fontId="30" fillId="0" borderId="0" xfId="319" applyFont="1" applyAlignment="1">
      <alignment wrapText="1"/>
    </xf>
    <xf numFmtId="0" fontId="28" fillId="0" borderId="0" xfId="319" applyFont="1" applyAlignment="1">
      <alignment horizontal="center" wrapText="1"/>
    </xf>
    <xf numFmtId="0" fontId="29" fillId="0" borderId="0" xfId="319" applyFont="1" applyAlignment="1">
      <alignment horizontal="right" wrapText="1"/>
    </xf>
    <xf numFmtId="16" fontId="28" fillId="0" borderId="0" xfId="319" applyNumberFormat="1" applyFont="1" applyAlignment="1">
      <alignment horizontal="center" wrapText="1"/>
    </xf>
    <xf numFmtId="0" fontId="28" fillId="0" borderId="0" xfId="319" applyFont="1" applyAlignment="1">
      <alignment horizontal="left" wrapText="1"/>
    </xf>
    <xf numFmtId="0" fontId="28" fillId="0" borderId="0" xfId="319" applyFont="1" applyAlignment="1">
      <alignment horizontal="right" wrapText="1"/>
    </xf>
    <xf numFmtId="0" fontId="30" fillId="0" borderId="0" xfId="319" applyFont="1" applyAlignment="1">
      <alignment horizontal="right" wrapText="1"/>
    </xf>
    <xf numFmtId="0" fontId="30" fillId="0" borderId="0" xfId="320" applyAlignment="1">
      <alignment wrapText="1"/>
    </xf>
    <xf numFmtId="2" fontId="0" fillId="0" borderId="0" xfId="0" applyNumberFormat="1"/>
    <xf numFmtId="165" fontId="0" fillId="0" borderId="0" xfId="0" applyNumberFormat="1"/>
    <xf numFmtId="0" fontId="0" fillId="0" borderId="0" xfId="0" applyAlignment="1">
      <alignment vertical="top" wrapText="1"/>
    </xf>
    <xf numFmtId="0" fontId="34" fillId="0" borderId="0" xfId="0" quotePrefix="1" applyFont="1" applyAlignment="1">
      <alignment vertical="top" wrapText="1"/>
    </xf>
    <xf numFmtId="0" fontId="33" fillId="0" borderId="0" xfId="0" applyFont="1"/>
    <xf numFmtId="0" fontId="38" fillId="0" borderId="0" xfId="0" applyFont="1" applyAlignment="1">
      <alignment horizontal="left"/>
    </xf>
    <xf numFmtId="0" fontId="40" fillId="0" borderId="0" xfId="0" applyFont="1" applyFill="1" applyBorder="1" applyAlignment="1">
      <alignment horizontal="right"/>
    </xf>
    <xf numFmtId="165" fontId="33" fillId="0" borderId="14" xfId="0" applyNumberFormat="1" applyFont="1" applyFill="1" applyBorder="1"/>
    <xf numFmtId="165" fontId="33" fillId="0" borderId="0" xfId="0" applyNumberFormat="1" applyFont="1" applyFill="1" applyBorder="1"/>
    <xf numFmtId="3" fontId="33" fillId="0" borderId="0" xfId="100" applyNumberFormat="1" applyFont="1" applyFill="1" applyBorder="1" applyAlignment="1"/>
    <xf numFmtId="3" fontId="33" fillId="0" borderId="0" xfId="100" applyNumberFormat="1" applyFont="1" applyFill="1" applyBorder="1"/>
    <xf numFmtId="164" fontId="33" fillId="0" borderId="0" xfId="0" applyNumberFormat="1" applyFont="1" applyFill="1" applyBorder="1"/>
    <xf numFmtId="2" fontId="33" fillId="0" borderId="0" xfId="0" applyNumberFormat="1" applyFont="1" applyFill="1" applyBorder="1"/>
    <xf numFmtId="165" fontId="33" fillId="0" borderId="15" xfId="0" applyNumberFormat="1" applyFont="1" applyFill="1" applyBorder="1"/>
    <xf numFmtId="164" fontId="33" fillId="0" borderId="16" xfId="0" applyNumberFormat="1" applyFont="1" applyFill="1" applyBorder="1"/>
    <xf numFmtId="3" fontId="33" fillId="0" borderId="11" xfId="100" applyNumberFormat="1" applyFont="1" applyFill="1" applyBorder="1" applyAlignment="1"/>
    <xf numFmtId="3" fontId="33" fillId="0" borderId="10" xfId="100" applyNumberFormat="1" applyFont="1" applyFill="1" applyBorder="1" applyAlignment="1"/>
    <xf numFmtId="0" fontId="35" fillId="0" borderId="0" xfId="0" quotePrefix="1" applyFont="1" applyAlignment="1">
      <alignment vertical="top" wrapText="1"/>
    </xf>
    <xf numFmtId="0" fontId="28" fillId="0" borderId="0" xfId="319" applyFont="1" applyAlignment="1">
      <alignment horizontal="left" vertical="top" wrapText="1"/>
    </xf>
    <xf numFmtId="0" fontId="42" fillId="0" borderId="0" xfId="0" applyFont="1" applyAlignment="1">
      <alignment horizontal="left" vertical="top" wrapText="1"/>
    </xf>
    <xf numFmtId="0" fontId="32" fillId="0" borderId="0" xfId="0" applyFont="1" applyAlignment="1">
      <alignment horizontal="left" vertical="top" wrapText="1"/>
    </xf>
    <xf numFmtId="0" fontId="44" fillId="0" borderId="0" xfId="0" applyFont="1" applyFill="1" applyBorder="1" applyAlignment="1">
      <alignment vertical="top" wrapText="1"/>
    </xf>
    <xf numFmtId="0" fontId="34" fillId="0" borderId="0" xfId="0" quotePrefix="1" applyFont="1" applyAlignment="1">
      <alignment horizontal="left" vertical="top" wrapText="1"/>
    </xf>
    <xf numFmtId="0" fontId="36" fillId="33" borderId="0" xfId="0" applyFont="1" applyFill="1" applyBorder="1" applyAlignment="1">
      <alignment horizontal="right" vertical="top" wrapText="1"/>
    </xf>
    <xf numFmtId="0" fontId="36" fillId="33" borderId="12" xfId="0" quotePrefix="1" applyFont="1" applyFill="1" applyBorder="1" applyAlignment="1">
      <alignment horizontal="left" vertical="top" wrapText="1"/>
    </xf>
    <xf numFmtId="0" fontId="36" fillId="33" borderId="13" xfId="0" quotePrefix="1" applyFont="1" applyFill="1" applyBorder="1" applyAlignment="1">
      <alignment horizontal="left" vertical="top" wrapText="1"/>
    </xf>
    <xf numFmtId="0" fontId="36" fillId="33" borderId="13" xfId="0" applyFont="1" applyFill="1" applyBorder="1" applyAlignment="1">
      <alignment vertical="top" wrapText="1"/>
    </xf>
    <xf numFmtId="0" fontId="36" fillId="33" borderId="0" xfId="0" applyFont="1" applyFill="1" applyBorder="1" applyAlignment="1">
      <alignment vertical="top" wrapText="1"/>
    </xf>
    <xf numFmtId="0" fontId="28" fillId="0" borderId="0" xfId="319" applyFont="1" applyAlignment="1">
      <alignment vertical="top" wrapText="1"/>
    </xf>
    <xf numFmtId="0" fontId="30" fillId="0" borderId="0" xfId="319" applyFont="1" applyAlignment="1">
      <alignment vertical="top" wrapText="1"/>
    </xf>
    <xf numFmtId="0" fontId="29" fillId="0" borderId="0" xfId="319" applyFont="1" applyAlignment="1">
      <alignment vertical="top" wrapText="1"/>
    </xf>
    <xf numFmtId="0" fontId="45" fillId="0" borderId="0" xfId="319" applyFont="1" applyAlignment="1">
      <alignment horizontal="left" wrapText="1"/>
    </xf>
    <xf numFmtId="0" fontId="40" fillId="0" borderId="0" xfId="0" applyFont="1" applyAlignment="1">
      <alignment horizontal="left"/>
    </xf>
    <xf numFmtId="164" fontId="33" fillId="0" borderId="17" xfId="0" applyNumberFormat="1" applyFont="1" applyFill="1" applyBorder="1"/>
    <xf numFmtId="165" fontId="33" fillId="0" borderId="17" xfId="0" applyNumberFormat="1" applyFont="1" applyFill="1" applyBorder="1"/>
    <xf numFmtId="0" fontId="36" fillId="33" borderId="17" xfId="0" applyFont="1" applyFill="1" applyBorder="1" applyAlignment="1">
      <alignment vertical="top" wrapText="1"/>
    </xf>
    <xf numFmtId="0" fontId="36" fillId="33" borderId="18" xfId="0" applyFont="1" applyFill="1" applyBorder="1" applyAlignment="1">
      <alignment vertical="top" wrapText="1"/>
    </xf>
    <xf numFmtId="164" fontId="33" fillId="0" borderId="19" xfId="0" applyNumberFormat="1" applyFont="1" applyFill="1" applyBorder="1"/>
    <xf numFmtId="0" fontId="0" fillId="0" borderId="0" xfId="0" applyFill="1"/>
    <xf numFmtId="164" fontId="33" fillId="34" borderId="20" xfId="0" applyNumberFormat="1" applyFont="1" applyFill="1" applyBorder="1"/>
    <xf numFmtId="164" fontId="33" fillId="0" borderId="20" xfId="0" applyNumberFormat="1" applyFont="1" applyBorder="1"/>
    <xf numFmtId="164" fontId="33" fillId="0" borderId="23" xfId="0" applyNumberFormat="1" applyFont="1" applyBorder="1"/>
    <xf numFmtId="0" fontId="36" fillId="33" borderId="25" xfId="0" quotePrefix="1" applyFont="1" applyFill="1" applyBorder="1" applyAlignment="1">
      <alignment horizontal="left" vertical="top" wrapText="1"/>
    </xf>
    <xf numFmtId="0" fontId="36" fillId="33" borderId="25" xfId="0" applyFont="1" applyFill="1" applyBorder="1" applyAlignment="1">
      <alignment vertical="top" wrapText="1"/>
    </xf>
    <xf numFmtId="0" fontId="36" fillId="33" borderId="26" xfId="0" applyFont="1" applyFill="1" applyBorder="1" applyAlignment="1">
      <alignment vertical="top" wrapText="1"/>
    </xf>
    <xf numFmtId="164" fontId="33" fillId="34" borderId="21" xfId="0" applyNumberFormat="1" applyFont="1" applyFill="1" applyBorder="1"/>
    <xf numFmtId="164" fontId="33" fillId="0" borderId="21" xfId="0" applyNumberFormat="1" applyFont="1" applyBorder="1"/>
    <xf numFmtId="164" fontId="33" fillId="34" borderId="29" xfId="0" applyNumberFormat="1" applyFont="1" applyFill="1" applyBorder="1"/>
    <xf numFmtId="164" fontId="33" fillId="34" borderId="30" xfId="0" applyNumberFormat="1" applyFont="1" applyFill="1" applyBorder="1"/>
    <xf numFmtId="164" fontId="33" fillId="0" borderId="31" xfId="0" applyNumberFormat="1" applyFont="1" applyBorder="1"/>
    <xf numFmtId="164" fontId="33" fillId="34" borderId="33" xfId="0" applyNumberFormat="1" applyFont="1" applyFill="1" applyBorder="1"/>
    <xf numFmtId="164" fontId="33" fillId="34" borderId="34" xfId="0" applyNumberFormat="1" applyFont="1" applyFill="1" applyBorder="1"/>
    <xf numFmtId="0" fontId="36" fillId="33" borderId="35" xfId="0" applyFont="1" applyFill="1" applyBorder="1" applyAlignment="1">
      <alignment horizontal="left" vertical="top" wrapText="1"/>
    </xf>
    <xf numFmtId="0" fontId="40" fillId="34" borderId="36" xfId="0" applyFont="1" applyFill="1" applyBorder="1" applyAlignment="1">
      <alignment horizontal="left"/>
    </xf>
    <xf numFmtId="0" fontId="40" fillId="0" borderId="36" xfId="0" applyFont="1" applyBorder="1" applyAlignment="1">
      <alignment horizontal="left"/>
    </xf>
    <xf numFmtId="0" fontId="40" fillId="34" borderId="37" xfId="0" applyFont="1" applyFill="1" applyBorder="1" applyAlignment="1">
      <alignment horizontal="left"/>
    </xf>
    <xf numFmtId="0" fontId="40" fillId="0" borderId="38" xfId="0" applyFont="1" applyBorder="1" applyAlignment="1">
      <alignment horizontal="left"/>
    </xf>
    <xf numFmtId="0" fontId="40" fillId="0" borderId="39" xfId="0" applyFont="1" applyBorder="1" applyAlignment="1">
      <alignment horizontal="left"/>
    </xf>
    <xf numFmtId="0" fontId="40" fillId="34" borderId="22" xfId="0" applyFont="1" applyFill="1" applyBorder="1" applyAlignment="1">
      <alignment horizontal="left"/>
    </xf>
    <xf numFmtId="0" fontId="36" fillId="33" borderId="24" xfId="0" quotePrefix="1" applyFont="1" applyFill="1" applyBorder="1" applyAlignment="1">
      <alignment horizontal="left" vertical="top" wrapText="1"/>
    </xf>
    <xf numFmtId="165" fontId="33" fillId="34" borderId="27" xfId="0" applyNumberFormat="1" applyFont="1" applyFill="1" applyBorder="1"/>
    <xf numFmtId="164" fontId="33" fillId="0" borderId="41" xfId="0" applyNumberFormat="1" applyFont="1" applyBorder="1"/>
    <xf numFmtId="164" fontId="33" fillId="0" borderId="43" xfId="0" applyNumberFormat="1" applyFont="1" applyBorder="1"/>
    <xf numFmtId="164" fontId="33" fillId="0" borderId="27" xfId="0" applyNumberFormat="1" applyFont="1" applyBorder="1"/>
    <xf numFmtId="164" fontId="33" fillId="34" borderId="28" xfId="0" applyNumberFormat="1" applyFont="1" applyFill="1" applyBorder="1"/>
    <xf numFmtId="164" fontId="33" fillId="0" borderId="40" xfId="0" applyNumberFormat="1" applyFont="1" applyBorder="1"/>
    <xf numFmtId="164" fontId="33" fillId="34" borderId="27" xfId="0" applyNumberFormat="1" applyFont="1" applyFill="1" applyBorder="1"/>
    <xf numFmtId="164" fontId="33" fillId="0" borderId="42" xfId="0" applyNumberFormat="1" applyFont="1" applyBorder="1"/>
    <xf numFmtId="164" fontId="33" fillId="34" borderId="32" xfId="0" applyNumberFormat="1" applyFont="1" applyFill="1" applyBorder="1"/>
    <xf numFmtId="0" fontId="49" fillId="0" borderId="0" xfId="0" applyFont="1" applyAlignment="1">
      <alignment horizontal="left"/>
    </xf>
    <xf numFmtId="0" fontId="50" fillId="0" borderId="0" xfId="0" applyFont="1" applyAlignment="1">
      <alignment horizontal="right"/>
    </xf>
    <xf numFmtId="164" fontId="0" fillId="0" borderId="0" xfId="0" applyNumberFormat="1"/>
    <xf numFmtId="0" fontId="50" fillId="0" borderId="0" xfId="0" applyFont="1" applyBorder="1" applyAlignment="1">
      <alignment horizontal="right"/>
    </xf>
    <xf numFmtId="0" fontId="33" fillId="0" borderId="0" xfId="0" applyFont="1" applyBorder="1"/>
    <xf numFmtId="0" fontId="50" fillId="0" borderId="0" xfId="0" quotePrefix="1" applyFont="1" applyFill="1" applyBorder="1" applyAlignment="1">
      <alignment horizontal="right"/>
    </xf>
    <xf numFmtId="0" fontId="51" fillId="0" borderId="0" xfId="0" applyFont="1" applyAlignment="1">
      <alignment horizontal="left"/>
    </xf>
    <xf numFmtId="0" fontId="37" fillId="0" borderId="0" xfId="0" quotePrefix="1" applyFont="1" applyAlignment="1">
      <alignment vertical="top" wrapText="1"/>
    </xf>
    <xf numFmtId="0" fontId="43" fillId="0" borderId="0" xfId="320" applyFont="1" applyFill="1" applyAlignment="1">
      <alignment vertical="top" wrapText="1"/>
    </xf>
    <xf numFmtId="0" fontId="43" fillId="0" borderId="0" xfId="320" applyFont="1" applyFill="1" applyAlignment="1">
      <alignment vertical="top"/>
    </xf>
    <xf numFmtId="0" fontId="43" fillId="0" borderId="0" xfId="320" applyFont="1" applyFill="1" applyAlignment="1">
      <alignment horizontal="left" vertical="top"/>
    </xf>
    <xf numFmtId="0" fontId="43" fillId="0" borderId="0" xfId="320" applyFont="1" applyAlignment="1">
      <alignment horizontal="left" vertical="top" wrapText="1"/>
    </xf>
    <xf numFmtId="0" fontId="52" fillId="0" borderId="0" xfId="319" applyFont="1" applyAlignment="1">
      <alignment horizontal="left" vertical="center" wrapText="1"/>
    </xf>
    <xf numFmtId="0" fontId="28" fillId="0" borderId="0" xfId="319" applyFont="1" applyAlignment="1">
      <alignment horizontal="left" vertical="center" wrapText="1"/>
    </xf>
    <xf numFmtId="0" fontId="35" fillId="0" borderId="0" xfId="319" applyFont="1" applyAlignment="1">
      <alignment vertical="top" wrapText="1"/>
    </xf>
  </cellXfs>
  <cellStyles count="321">
    <cellStyle name="20% - Accent1" xfId="18" builtinId="30" customBuiltin="1"/>
    <cellStyle name="20% - Accent1 2" xfId="45" xr:uid="{00000000-0005-0000-0000-000001000000}"/>
    <cellStyle name="20% - Accent1 2 2" xfId="104" xr:uid="{00000000-0005-0000-0000-000002000000}"/>
    <cellStyle name="20% - Accent1 2 2 2" xfId="235" xr:uid="{00000000-0005-0000-0000-000003000000}"/>
    <cellStyle name="20% - Accent1 2 3" xfId="177" xr:uid="{00000000-0005-0000-0000-000004000000}"/>
    <cellStyle name="20% - Accent1 3" xfId="59" xr:uid="{00000000-0005-0000-0000-000005000000}"/>
    <cellStyle name="20% - Accent1 3 2" xfId="118" xr:uid="{00000000-0005-0000-0000-000006000000}"/>
    <cellStyle name="20% - Accent1 3 2 2" xfId="249" xr:uid="{00000000-0005-0000-0000-000007000000}"/>
    <cellStyle name="20% - Accent1 3 3" xfId="191" xr:uid="{00000000-0005-0000-0000-000008000000}"/>
    <cellStyle name="20% - Accent1 4" xfId="73" xr:uid="{00000000-0005-0000-0000-000009000000}"/>
    <cellStyle name="20% - Accent1 4 2" xfId="132" xr:uid="{00000000-0005-0000-0000-00000A000000}"/>
    <cellStyle name="20% - Accent1 4 2 2" xfId="263" xr:uid="{00000000-0005-0000-0000-00000B000000}"/>
    <cellStyle name="20% - Accent1 4 3" xfId="205" xr:uid="{00000000-0005-0000-0000-00000C000000}"/>
    <cellStyle name="20% - Accent1 5" xfId="87" xr:uid="{00000000-0005-0000-0000-00000D000000}"/>
    <cellStyle name="20% - Accent1 5 2" xfId="219" xr:uid="{00000000-0005-0000-0000-00000E000000}"/>
    <cellStyle name="20% - Accent1 6" xfId="146" xr:uid="{00000000-0005-0000-0000-00000F000000}"/>
    <cellStyle name="20% - Accent1 6 2" xfId="277" xr:uid="{00000000-0005-0000-0000-000010000000}"/>
    <cellStyle name="20% - Accent1 7" xfId="160" xr:uid="{00000000-0005-0000-0000-000011000000}"/>
    <cellStyle name="20% - Accent1 8" xfId="291" xr:uid="{00000000-0005-0000-0000-000012000000}"/>
    <cellStyle name="20% - Accent1 9" xfId="305" xr:uid="{00000000-0005-0000-0000-000013000000}"/>
    <cellStyle name="20% - Accent2" xfId="22" builtinId="34" customBuiltin="1"/>
    <cellStyle name="20% - Accent2 2" xfId="47" xr:uid="{00000000-0005-0000-0000-000015000000}"/>
    <cellStyle name="20% - Accent2 2 2" xfId="106" xr:uid="{00000000-0005-0000-0000-000016000000}"/>
    <cellStyle name="20% - Accent2 2 2 2" xfId="237" xr:uid="{00000000-0005-0000-0000-000017000000}"/>
    <cellStyle name="20% - Accent2 2 3" xfId="179" xr:uid="{00000000-0005-0000-0000-000018000000}"/>
    <cellStyle name="20% - Accent2 3" xfId="61" xr:uid="{00000000-0005-0000-0000-000019000000}"/>
    <cellStyle name="20% - Accent2 3 2" xfId="120" xr:uid="{00000000-0005-0000-0000-00001A000000}"/>
    <cellStyle name="20% - Accent2 3 2 2" xfId="251" xr:uid="{00000000-0005-0000-0000-00001B000000}"/>
    <cellStyle name="20% - Accent2 3 3" xfId="193" xr:uid="{00000000-0005-0000-0000-00001C000000}"/>
    <cellStyle name="20% - Accent2 4" xfId="75" xr:uid="{00000000-0005-0000-0000-00001D000000}"/>
    <cellStyle name="20% - Accent2 4 2" xfId="134" xr:uid="{00000000-0005-0000-0000-00001E000000}"/>
    <cellStyle name="20% - Accent2 4 2 2" xfId="265" xr:uid="{00000000-0005-0000-0000-00001F000000}"/>
    <cellStyle name="20% - Accent2 4 3" xfId="207" xr:uid="{00000000-0005-0000-0000-000020000000}"/>
    <cellStyle name="20% - Accent2 5" xfId="89" xr:uid="{00000000-0005-0000-0000-000021000000}"/>
    <cellStyle name="20% - Accent2 5 2" xfId="221" xr:uid="{00000000-0005-0000-0000-000022000000}"/>
    <cellStyle name="20% - Accent2 6" xfId="148" xr:uid="{00000000-0005-0000-0000-000023000000}"/>
    <cellStyle name="20% - Accent2 6 2" xfId="279" xr:uid="{00000000-0005-0000-0000-000024000000}"/>
    <cellStyle name="20% - Accent2 7" xfId="162" xr:uid="{00000000-0005-0000-0000-000025000000}"/>
    <cellStyle name="20% - Accent2 8" xfId="293" xr:uid="{00000000-0005-0000-0000-000026000000}"/>
    <cellStyle name="20% - Accent2 9" xfId="307" xr:uid="{00000000-0005-0000-0000-000027000000}"/>
    <cellStyle name="20% - Accent3" xfId="26" builtinId="38" customBuiltin="1"/>
    <cellStyle name="20% - Accent3 2" xfId="49" xr:uid="{00000000-0005-0000-0000-000029000000}"/>
    <cellStyle name="20% - Accent3 2 2" xfId="108" xr:uid="{00000000-0005-0000-0000-00002A000000}"/>
    <cellStyle name="20% - Accent3 2 2 2" xfId="239" xr:uid="{00000000-0005-0000-0000-00002B000000}"/>
    <cellStyle name="20% - Accent3 2 3" xfId="181" xr:uid="{00000000-0005-0000-0000-00002C000000}"/>
    <cellStyle name="20% - Accent3 3" xfId="63" xr:uid="{00000000-0005-0000-0000-00002D000000}"/>
    <cellStyle name="20% - Accent3 3 2" xfId="122" xr:uid="{00000000-0005-0000-0000-00002E000000}"/>
    <cellStyle name="20% - Accent3 3 2 2" xfId="253" xr:uid="{00000000-0005-0000-0000-00002F000000}"/>
    <cellStyle name="20% - Accent3 3 3" xfId="195" xr:uid="{00000000-0005-0000-0000-000030000000}"/>
    <cellStyle name="20% - Accent3 4" xfId="77" xr:uid="{00000000-0005-0000-0000-000031000000}"/>
    <cellStyle name="20% - Accent3 4 2" xfId="136" xr:uid="{00000000-0005-0000-0000-000032000000}"/>
    <cellStyle name="20% - Accent3 4 2 2" xfId="267" xr:uid="{00000000-0005-0000-0000-000033000000}"/>
    <cellStyle name="20% - Accent3 4 3" xfId="209" xr:uid="{00000000-0005-0000-0000-000034000000}"/>
    <cellStyle name="20% - Accent3 5" xfId="91" xr:uid="{00000000-0005-0000-0000-000035000000}"/>
    <cellStyle name="20% - Accent3 5 2" xfId="223" xr:uid="{00000000-0005-0000-0000-000036000000}"/>
    <cellStyle name="20% - Accent3 6" xfId="150" xr:uid="{00000000-0005-0000-0000-000037000000}"/>
    <cellStyle name="20% - Accent3 6 2" xfId="281" xr:uid="{00000000-0005-0000-0000-000038000000}"/>
    <cellStyle name="20% - Accent3 7" xfId="164" xr:uid="{00000000-0005-0000-0000-000039000000}"/>
    <cellStyle name="20% - Accent3 8" xfId="295" xr:uid="{00000000-0005-0000-0000-00003A000000}"/>
    <cellStyle name="20% - Accent3 9" xfId="309" xr:uid="{00000000-0005-0000-0000-00003B000000}"/>
    <cellStyle name="20% - Accent4" xfId="30" builtinId="42" customBuiltin="1"/>
    <cellStyle name="20% - Accent4 2" xfId="51" xr:uid="{00000000-0005-0000-0000-00003D000000}"/>
    <cellStyle name="20% - Accent4 2 2" xfId="110" xr:uid="{00000000-0005-0000-0000-00003E000000}"/>
    <cellStyle name="20% - Accent4 2 2 2" xfId="241" xr:uid="{00000000-0005-0000-0000-00003F000000}"/>
    <cellStyle name="20% - Accent4 2 3" xfId="183" xr:uid="{00000000-0005-0000-0000-000040000000}"/>
    <cellStyle name="20% - Accent4 3" xfId="65" xr:uid="{00000000-0005-0000-0000-000041000000}"/>
    <cellStyle name="20% - Accent4 3 2" xfId="124" xr:uid="{00000000-0005-0000-0000-000042000000}"/>
    <cellStyle name="20% - Accent4 3 2 2" xfId="255" xr:uid="{00000000-0005-0000-0000-000043000000}"/>
    <cellStyle name="20% - Accent4 3 3" xfId="197" xr:uid="{00000000-0005-0000-0000-000044000000}"/>
    <cellStyle name="20% - Accent4 4" xfId="79" xr:uid="{00000000-0005-0000-0000-000045000000}"/>
    <cellStyle name="20% - Accent4 4 2" xfId="138" xr:uid="{00000000-0005-0000-0000-000046000000}"/>
    <cellStyle name="20% - Accent4 4 2 2" xfId="269" xr:uid="{00000000-0005-0000-0000-000047000000}"/>
    <cellStyle name="20% - Accent4 4 3" xfId="211" xr:uid="{00000000-0005-0000-0000-000048000000}"/>
    <cellStyle name="20% - Accent4 5" xfId="93" xr:uid="{00000000-0005-0000-0000-000049000000}"/>
    <cellStyle name="20% - Accent4 5 2" xfId="225" xr:uid="{00000000-0005-0000-0000-00004A000000}"/>
    <cellStyle name="20% - Accent4 6" xfId="152" xr:uid="{00000000-0005-0000-0000-00004B000000}"/>
    <cellStyle name="20% - Accent4 6 2" xfId="283" xr:uid="{00000000-0005-0000-0000-00004C000000}"/>
    <cellStyle name="20% - Accent4 7" xfId="166" xr:uid="{00000000-0005-0000-0000-00004D000000}"/>
    <cellStyle name="20% - Accent4 8" xfId="297" xr:uid="{00000000-0005-0000-0000-00004E000000}"/>
    <cellStyle name="20% - Accent4 9" xfId="311" xr:uid="{00000000-0005-0000-0000-00004F000000}"/>
    <cellStyle name="20% - Accent5" xfId="34" builtinId="46" customBuiltin="1"/>
    <cellStyle name="20% - Accent5 2" xfId="53" xr:uid="{00000000-0005-0000-0000-000051000000}"/>
    <cellStyle name="20% - Accent5 2 2" xfId="112" xr:uid="{00000000-0005-0000-0000-000052000000}"/>
    <cellStyle name="20% - Accent5 2 2 2" xfId="243" xr:uid="{00000000-0005-0000-0000-000053000000}"/>
    <cellStyle name="20% - Accent5 2 3" xfId="185" xr:uid="{00000000-0005-0000-0000-000054000000}"/>
    <cellStyle name="20% - Accent5 3" xfId="67" xr:uid="{00000000-0005-0000-0000-000055000000}"/>
    <cellStyle name="20% - Accent5 3 2" xfId="126" xr:uid="{00000000-0005-0000-0000-000056000000}"/>
    <cellStyle name="20% - Accent5 3 2 2" xfId="257" xr:uid="{00000000-0005-0000-0000-000057000000}"/>
    <cellStyle name="20% - Accent5 3 3" xfId="199" xr:uid="{00000000-0005-0000-0000-000058000000}"/>
    <cellStyle name="20% - Accent5 4" xfId="81" xr:uid="{00000000-0005-0000-0000-000059000000}"/>
    <cellStyle name="20% - Accent5 4 2" xfId="140" xr:uid="{00000000-0005-0000-0000-00005A000000}"/>
    <cellStyle name="20% - Accent5 4 2 2" xfId="271" xr:uid="{00000000-0005-0000-0000-00005B000000}"/>
    <cellStyle name="20% - Accent5 4 3" xfId="213" xr:uid="{00000000-0005-0000-0000-00005C000000}"/>
    <cellStyle name="20% - Accent5 5" xfId="95" xr:uid="{00000000-0005-0000-0000-00005D000000}"/>
    <cellStyle name="20% - Accent5 5 2" xfId="227" xr:uid="{00000000-0005-0000-0000-00005E000000}"/>
    <cellStyle name="20% - Accent5 6" xfId="154" xr:uid="{00000000-0005-0000-0000-00005F000000}"/>
    <cellStyle name="20% - Accent5 6 2" xfId="285" xr:uid="{00000000-0005-0000-0000-000060000000}"/>
    <cellStyle name="20% - Accent5 7" xfId="168" xr:uid="{00000000-0005-0000-0000-000061000000}"/>
    <cellStyle name="20% - Accent5 8" xfId="299" xr:uid="{00000000-0005-0000-0000-000062000000}"/>
    <cellStyle name="20% - Accent5 9" xfId="313" xr:uid="{00000000-0005-0000-0000-000063000000}"/>
    <cellStyle name="20% - Accent6" xfId="38" builtinId="50" customBuiltin="1"/>
    <cellStyle name="20% - Accent6 2" xfId="55" xr:uid="{00000000-0005-0000-0000-000065000000}"/>
    <cellStyle name="20% - Accent6 2 2" xfId="114" xr:uid="{00000000-0005-0000-0000-000066000000}"/>
    <cellStyle name="20% - Accent6 2 2 2" xfId="245" xr:uid="{00000000-0005-0000-0000-000067000000}"/>
    <cellStyle name="20% - Accent6 2 3" xfId="187" xr:uid="{00000000-0005-0000-0000-000068000000}"/>
    <cellStyle name="20% - Accent6 3" xfId="69" xr:uid="{00000000-0005-0000-0000-000069000000}"/>
    <cellStyle name="20% - Accent6 3 2" xfId="128" xr:uid="{00000000-0005-0000-0000-00006A000000}"/>
    <cellStyle name="20% - Accent6 3 2 2" xfId="259" xr:uid="{00000000-0005-0000-0000-00006B000000}"/>
    <cellStyle name="20% - Accent6 3 3" xfId="201" xr:uid="{00000000-0005-0000-0000-00006C000000}"/>
    <cellStyle name="20% - Accent6 4" xfId="83" xr:uid="{00000000-0005-0000-0000-00006D000000}"/>
    <cellStyle name="20% - Accent6 4 2" xfId="142" xr:uid="{00000000-0005-0000-0000-00006E000000}"/>
    <cellStyle name="20% - Accent6 4 2 2" xfId="273" xr:uid="{00000000-0005-0000-0000-00006F000000}"/>
    <cellStyle name="20% - Accent6 4 3" xfId="215" xr:uid="{00000000-0005-0000-0000-000070000000}"/>
    <cellStyle name="20% - Accent6 5" xfId="97" xr:uid="{00000000-0005-0000-0000-000071000000}"/>
    <cellStyle name="20% - Accent6 5 2" xfId="229" xr:uid="{00000000-0005-0000-0000-000072000000}"/>
    <cellStyle name="20% - Accent6 6" xfId="156" xr:uid="{00000000-0005-0000-0000-000073000000}"/>
    <cellStyle name="20% - Accent6 6 2" xfId="287" xr:uid="{00000000-0005-0000-0000-000074000000}"/>
    <cellStyle name="20% - Accent6 7" xfId="170" xr:uid="{00000000-0005-0000-0000-000075000000}"/>
    <cellStyle name="20% - Accent6 8" xfId="301" xr:uid="{00000000-0005-0000-0000-000076000000}"/>
    <cellStyle name="20% - Accent6 9" xfId="315" xr:uid="{00000000-0005-0000-0000-000077000000}"/>
    <cellStyle name="40% - Accent1" xfId="19" builtinId="31" customBuiltin="1"/>
    <cellStyle name="40% - Accent1 2" xfId="46" xr:uid="{00000000-0005-0000-0000-000079000000}"/>
    <cellStyle name="40% - Accent1 2 2" xfId="105" xr:uid="{00000000-0005-0000-0000-00007A000000}"/>
    <cellStyle name="40% - Accent1 2 2 2" xfId="236" xr:uid="{00000000-0005-0000-0000-00007B000000}"/>
    <cellStyle name="40% - Accent1 2 3" xfId="178" xr:uid="{00000000-0005-0000-0000-00007C000000}"/>
    <cellStyle name="40% - Accent1 3" xfId="60" xr:uid="{00000000-0005-0000-0000-00007D000000}"/>
    <cellStyle name="40% - Accent1 3 2" xfId="119" xr:uid="{00000000-0005-0000-0000-00007E000000}"/>
    <cellStyle name="40% - Accent1 3 2 2" xfId="250" xr:uid="{00000000-0005-0000-0000-00007F000000}"/>
    <cellStyle name="40% - Accent1 3 3" xfId="192" xr:uid="{00000000-0005-0000-0000-000080000000}"/>
    <cellStyle name="40% - Accent1 4" xfId="74" xr:uid="{00000000-0005-0000-0000-000081000000}"/>
    <cellStyle name="40% - Accent1 4 2" xfId="133" xr:uid="{00000000-0005-0000-0000-000082000000}"/>
    <cellStyle name="40% - Accent1 4 2 2" xfId="264" xr:uid="{00000000-0005-0000-0000-000083000000}"/>
    <cellStyle name="40% - Accent1 4 3" xfId="206" xr:uid="{00000000-0005-0000-0000-000084000000}"/>
    <cellStyle name="40% - Accent1 5" xfId="88" xr:uid="{00000000-0005-0000-0000-000085000000}"/>
    <cellStyle name="40% - Accent1 5 2" xfId="220" xr:uid="{00000000-0005-0000-0000-000086000000}"/>
    <cellStyle name="40% - Accent1 6" xfId="147" xr:uid="{00000000-0005-0000-0000-000087000000}"/>
    <cellStyle name="40% - Accent1 6 2" xfId="278" xr:uid="{00000000-0005-0000-0000-000088000000}"/>
    <cellStyle name="40% - Accent1 7" xfId="161" xr:uid="{00000000-0005-0000-0000-000089000000}"/>
    <cellStyle name="40% - Accent1 8" xfId="292" xr:uid="{00000000-0005-0000-0000-00008A000000}"/>
    <cellStyle name="40% - Accent1 9" xfId="306" xr:uid="{00000000-0005-0000-0000-00008B000000}"/>
    <cellStyle name="40% - Accent2" xfId="23" builtinId="35" customBuiltin="1"/>
    <cellStyle name="40% - Accent2 2" xfId="48" xr:uid="{00000000-0005-0000-0000-00008D000000}"/>
    <cellStyle name="40% - Accent2 2 2" xfId="107" xr:uid="{00000000-0005-0000-0000-00008E000000}"/>
    <cellStyle name="40% - Accent2 2 2 2" xfId="238" xr:uid="{00000000-0005-0000-0000-00008F000000}"/>
    <cellStyle name="40% - Accent2 2 3" xfId="180" xr:uid="{00000000-0005-0000-0000-000090000000}"/>
    <cellStyle name="40% - Accent2 3" xfId="62" xr:uid="{00000000-0005-0000-0000-000091000000}"/>
    <cellStyle name="40% - Accent2 3 2" xfId="121" xr:uid="{00000000-0005-0000-0000-000092000000}"/>
    <cellStyle name="40% - Accent2 3 2 2" xfId="252" xr:uid="{00000000-0005-0000-0000-000093000000}"/>
    <cellStyle name="40% - Accent2 3 3" xfId="194" xr:uid="{00000000-0005-0000-0000-000094000000}"/>
    <cellStyle name="40% - Accent2 4" xfId="76" xr:uid="{00000000-0005-0000-0000-000095000000}"/>
    <cellStyle name="40% - Accent2 4 2" xfId="135" xr:uid="{00000000-0005-0000-0000-000096000000}"/>
    <cellStyle name="40% - Accent2 4 2 2" xfId="266" xr:uid="{00000000-0005-0000-0000-000097000000}"/>
    <cellStyle name="40% - Accent2 4 3" xfId="208" xr:uid="{00000000-0005-0000-0000-000098000000}"/>
    <cellStyle name="40% - Accent2 5" xfId="90" xr:uid="{00000000-0005-0000-0000-000099000000}"/>
    <cellStyle name="40% - Accent2 5 2" xfId="222" xr:uid="{00000000-0005-0000-0000-00009A000000}"/>
    <cellStyle name="40% - Accent2 6" xfId="149" xr:uid="{00000000-0005-0000-0000-00009B000000}"/>
    <cellStyle name="40% - Accent2 6 2" xfId="280" xr:uid="{00000000-0005-0000-0000-00009C000000}"/>
    <cellStyle name="40% - Accent2 7" xfId="163" xr:uid="{00000000-0005-0000-0000-00009D000000}"/>
    <cellStyle name="40% - Accent2 8" xfId="294" xr:uid="{00000000-0005-0000-0000-00009E000000}"/>
    <cellStyle name="40% - Accent2 9" xfId="308" xr:uid="{00000000-0005-0000-0000-00009F000000}"/>
    <cellStyle name="40% - Accent3" xfId="27" builtinId="39" customBuiltin="1"/>
    <cellStyle name="40% - Accent3 2" xfId="50" xr:uid="{00000000-0005-0000-0000-0000A1000000}"/>
    <cellStyle name="40% - Accent3 2 2" xfId="109" xr:uid="{00000000-0005-0000-0000-0000A2000000}"/>
    <cellStyle name="40% - Accent3 2 2 2" xfId="240" xr:uid="{00000000-0005-0000-0000-0000A3000000}"/>
    <cellStyle name="40% - Accent3 2 3" xfId="182" xr:uid="{00000000-0005-0000-0000-0000A4000000}"/>
    <cellStyle name="40% - Accent3 3" xfId="64" xr:uid="{00000000-0005-0000-0000-0000A5000000}"/>
    <cellStyle name="40% - Accent3 3 2" xfId="123" xr:uid="{00000000-0005-0000-0000-0000A6000000}"/>
    <cellStyle name="40% - Accent3 3 2 2" xfId="254" xr:uid="{00000000-0005-0000-0000-0000A7000000}"/>
    <cellStyle name="40% - Accent3 3 3" xfId="196" xr:uid="{00000000-0005-0000-0000-0000A8000000}"/>
    <cellStyle name="40% - Accent3 4" xfId="78" xr:uid="{00000000-0005-0000-0000-0000A9000000}"/>
    <cellStyle name="40% - Accent3 4 2" xfId="137" xr:uid="{00000000-0005-0000-0000-0000AA000000}"/>
    <cellStyle name="40% - Accent3 4 2 2" xfId="268" xr:uid="{00000000-0005-0000-0000-0000AB000000}"/>
    <cellStyle name="40% - Accent3 4 3" xfId="210" xr:uid="{00000000-0005-0000-0000-0000AC000000}"/>
    <cellStyle name="40% - Accent3 5" xfId="92" xr:uid="{00000000-0005-0000-0000-0000AD000000}"/>
    <cellStyle name="40% - Accent3 5 2" xfId="224" xr:uid="{00000000-0005-0000-0000-0000AE000000}"/>
    <cellStyle name="40% - Accent3 6" xfId="151" xr:uid="{00000000-0005-0000-0000-0000AF000000}"/>
    <cellStyle name="40% - Accent3 6 2" xfId="282" xr:uid="{00000000-0005-0000-0000-0000B0000000}"/>
    <cellStyle name="40% - Accent3 7" xfId="165" xr:uid="{00000000-0005-0000-0000-0000B1000000}"/>
    <cellStyle name="40% - Accent3 8" xfId="296" xr:uid="{00000000-0005-0000-0000-0000B2000000}"/>
    <cellStyle name="40% - Accent3 9" xfId="310" xr:uid="{00000000-0005-0000-0000-0000B3000000}"/>
    <cellStyle name="40% - Accent4" xfId="31" builtinId="43" customBuiltin="1"/>
    <cellStyle name="40% - Accent4 2" xfId="52" xr:uid="{00000000-0005-0000-0000-0000B5000000}"/>
    <cellStyle name="40% - Accent4 2 2" xfId="111" xr:uid="{00000000-0005-0000-0000-0000B6000000}"/>
    <cellStyle name="40% - Accent4 2 2 2" xfId="242" xr:uid="{00000000-0005-0000-0000-0000B7000000}"/>
    <cellStyle name="40% - Accent4 2 3" xfId="184" xr:uid="{00000000-0005-0000-0000-0000B8000000}"/>
    <cellStyle name="40% - Accent4 3" xfId="66" xr:uid="{00000000-0005-0000-0000-0000B9000000}"/>
    <cellStyle name="40% - Accent4 3 2" xfId="125" xr:uid="{00000000-0005-0000-0000-0000BA000000}"/>
    <cellStyle name="40% - Accent4 3 2 2" xfId="256" xr:uid="{00000000-0005-0000-0000-0000BB000000}"/>
    <cellStyle name="40% - Accent4 3 3" xfId="198" xr:uid="{00000000-0005-0000-0000-0000BC000000}"/>
    <cellStyle name="40% - Accent4 4" xfId="80" xr:uid="{00000000-0005-0000-0000-0000BD000000}"/>
    <cellStyle name="40% - Accent4 4 2" xfId="139" xr:uid="{00000000-0005-0000-0000-0000BE000000}"/>
    <cellStyle name="40% - Accent4 4 2 2" xfId="270" xr:uid="{00000000-0005-0000-0000-0000BF000000}"/>
    <cellStyle name="40% - Accent4 4 3" xfId="212" xr:uid="{00000000-0005-0000-0000-0000C0000000}"/>
    <cellStyle name="40% - Accent4 5" xfId="94" xr:uid="{00000000-0005-0000-0000-0000C1000000}"/>
    <cellStyle name="40% - Accent4 5 2" xfId="226" xr:uid="{00000000-0005-0000-0000-0000C2000000}"/>
    <cellStyle name="40% - Accent4 6" xfId="153" xr:uid="{00000000-0005-0000-0000-0000C3000000}"/>
    <cellStyle name="40% - Accent4 6 2" xfId="284" xr:uid="{00000000-0005-0000-0000-0000C4000000}"/>
    <cellStyle name="40% - Accent4 7" xfId="167" xr:uid="{00000000-0005-0000-0000-0000C5000000}"/>
    <cellStyle name="40% - Accent4 8" xfId="298" xr:uid="{00000000-0005-0000-0000-0000C6000000}"/>
    <cellStyle name="40% - Accent4 9" xfId="312" xr:uid="{00000000-0005-0000-0000-0000C7000000}"/>
    <cellStyle name="40% - Accent5" xfId="35" builtinId="47" customBuiltin="1"/>
    <cellStyle name="40% - Accent5 2" xfId="54" xr:uid="{00000000-0005-0000-0000-0000C9000000}"/>
    <cellStyle name="40% - Accent5 2 2" xfId="113" xr:uid="{00000000-0005-0000-0000-0000CA000000}"/>
    <cellStyle name="40% - Accent5 2 2 2" xfId="244" xr:uid="{00000000-0005-0000-0000-0000CB000000}"/>
    <cellStyle name="40% - Accent5 2 3" xfId="186" xr:uid="{00000000-0005-0000-0000-0000CC000000}"/>
    <cellStyle name="40% - Accent5 3" xfId="68" xr:uid="{00000000-0005-0000-0000-0000CD000000}"/>
    <cellStyle name="40% - Accent5 3 2" xfId="127" xr:uid="{00000000-0005-0000-0000-0000CE000000}"/>
    <cellStyle name="40% - Accent5 3 2 2" xfId="258" xr:uid="{00000000-0005-0000-0000-0000CF000000}"/>
    <cellStyle name="40% - Accent5 3 3" xfId="200" xr:uid="{00000000-0005-0000-0000-0000D0000000}"/>
    <cellStyle name="40% - Accent5 4" xfId="82" xr:uid="{00000000-0005-0000-0000-0000D1000000}"/>
    <cellStyle name="40% - Accent5 4 2" xfId="141" xr:uid="{00000000-0005-0000-0000-0000D2000000}"/>
    <cellStyle name="40% - Accent5 4 2 2" xfId="272" xr:uid="{00000000-0005-0000-0000-0000D3000000}"/>
    <cellStyle name="40% - Accent5 4 3" xfId="214" xr:uid="{00000000-0005-0000-0000-0000D4000000}"/>
    <cellStyle name="40% - Accent5 5" xfId="96" xr:uid="{00000000-0005-0000-0000-0000D5000000}"/>
    <cellStyle name="40% - Accent5 5 2" xfId="228" xr:uid="{00000000-0005-0000-0000-0000D6000000}"/>
    <cellStyle name="40% - Accent5 6" xfId="155" xr:uid="{00000000-0005-0000-0000-0000D7000000}"/>
    <cellStyle name="40% - Accent5 6 2" xfId="286" xr:uid="{00000000-0005-0000-0000-0000D8000000}"/>
    <cellStyle name="40% - Accent5 7" xfId="169" xr:uid="{00000000-0005-0000-0000-0000D9000000}"/>
    <cellStyle name="40% - Accent5 8" xfId="300" xr:uid="{00000000-0005-0000-0000-0000DA000000}"/>
    <cellStyle name="40% - Accent5 9" xfId="314" xr:uid="{00000000-0005-0000-0000-0000DB000000}"/>
    <cellStyle name="40% - Accent6" xfId="39" builtinId="51" customBuiltin="1"/>
    <cellStyle name="40% - Accent6 2" xfId="56" xr:uid="{00000000-0005-0000-0000-0000DD000000}"/>
    <cellStyle name="40% - Accent6 2 2" xfId="115" xr:uid="{00000000-0005-0000-0000-0000DE000000}"/>
    <cellStyle name="40% - Accent6 2 2 2" xfId="246" xr:uid="{00000000-0005-0000-0000-0000DF000000}"/>
    <cellStyle name="40% - Accent6 2 3" xfId="188" xr:uid="{00000000-0005-0000-0000-0000E0000000}"/>
    <cellStyle name="40% - Accent6 3" xfId="70" xr:uid="{00000000-0005-0000-0000-0000E1000000}"/>
    <cellStyle name="40% - Accent6 3 2" xfId="129" xr:uid="{00000000-0005-0000-0000-0000E2000000}"/>
    <cellStyle name="40% - Accent6 3 2 2" xfId="260" xr:uid="{00000000-0005-0000-0000-0000E3000000}"/>
    <cellStyle name="40% - Accent6 3 3" xfId="202" xr:uid="{00000000-0005-0000-0000-0000E4000000}"/>
    <cellStyle name="40% - Accent6 4" xfId="84" xr:uid="{00000000-0005-0000-0000-0000E5000000}"/>
    <cellStyle name="40% - Accent6 4 2" xfId="143" xr:uid="{00000000-0005-0000-0000-0000E6000000}"/>
    <cellStyle name="40% - Accent6 4 2 2" xfId="274" xr:uid="{00000000-0005-0000-0000-0000E7000000}"/>
    <cellStyle name="40% - Accent6 4 3" xfId="216" xr:uid="{00000000-0005-0000-0000-0000E8000000}"/>
    <cellStyle name="40% - Accent6 5" xfId="98" xr:uid="{00000000-0005-0000-0000-0000E9000000}"/>
    <cellStyle name="40% - Accent6 5 2" xfId="230" xr:uid="{00000000-0005-0000-0000-0000EA000000}"/>
    <cellStyle name="40% - Accent6 6" xfId="157" xr:uid="{00000000-0005-0000-0000-0000EB000000}"/>
    <cellStyle name="40% - Accent6 6 2" xfId="288" xr:uid="{00000000-0005-0000-0000-0000EC000000}"/>
    <cellStyle name="40% - Accent6 7" xfId="171" xr:uid="{00000000-0005-0000-0000-0000ED000000}"/>
    <cellStyle name="40% - Accent6 8" xfId="302" xr:uid="{00000000-0005-0000-0000-0000EE000000}"/>
    <cellStyle name="40% - Accent6 9" xfId="316" xr:uid="{00000000-0005-0000-0000-0000EF000000}"/>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320" builtinId="8"/>
    <cellStyle name="Input" xfId="9" builtinId="20" customBuiltin="1"/>
    <cellStyle name="Linked Cell" xfId="12" builtinId="24" customBuiltin="1"/>
    <cellStyle name="Neutral" xfId="8" builtinId="28" customBuiltin="1"/>
    <cellStyle name="Normal" xfId="0" builtinId="0"/>
    <cellStyle name="Normal 10" xfId="158" xr:uid="{00000000-0005-0000-0000-00000A010000}"/>
    <cellStyle name="Normal 11" xfId="289" xr:uid="{00000000-0005-0000-0000-00000B010000}"/>
    <cellStyle name="Normal 12" xfId="303" xr:uid="{00000000-0005-0000-0000-00000C010000}"/>
    <cellStyle name="Normal 13" xfId="319" xr:uid="{00000000-0005-0000-0000-00000D010000}"/>
    <cellStyle name="Normal 2" xfId="41" xr:uid="{00000000-0005-0000-0000-00000E010000}"/>
    <cellStyle name="Normal 2 2" xfId="100" xr:uid="{00000000-0005-0000-0000-00000F010000}"/>
    <cellStyle name="Normal 2 2 2" xfId="231" xr:uid="{00000000-0005-0000-0000-000010010000}"/>
    <cellStyle name="Normal 2 3" xfId="173" xr:uid="{00000000-0005-0000-0000-000011010000}"/>
    <cellStyle name="Normal 3" xfId="43" xr:uid="{00000000-0005-0000-0000-000012010000}"/>
    <cellStyle name="Normal 3 2" xfId="102" xr:uid="{00000000-0005-0000-0000-000013010000}"/>
    <cellStyle name="Normal 3 2 2" xfId="233" xr:uid="{00000000-0005-0000-0000-000014010000}"/>
    <cellStyle name="Normal 3 3" xfId="175" xr:uid="{00000000-0005-0000-0000-000015010000}"/>
    <cellStyle name="Normal 3 4" xfId="318" xr:uid="{00000000-0005-0000-0000-000016010000}"/>
    <cellStyle name="Normal 4" xfId="57" xr:uid="{00000000-0005-0000-0000-000017010000}"/>
    <cellStyle name="Normal 4 2" xfId="116" xr:uid="{00000000-0005-0000-0000-000018010000}"/>
    <cellStyle name="Normal 4 2 2" xfId="247" xr:uid="{00000000-0005-0000-0000-000019010000}"/>
    <cellStyle name="Normal 4 3" xfId="189" xr:uid="{00000000-0005-0000-0000-00001A010000}"/>
    <cellStyle name="Normal 4 4" xfId="317" xr:uid="{00000000-0005-0000-0000-00001B010000}"/>
    <cellStyle name="Normal 5" xfId="71" xr:uid="{00000000-0005-0000-0000-00001C010000}"/>
    <cellStyle name="Normal 5 2" xfId="130" xr:uid="{00000000-0005-0000-0000-00001D010000}"/>
    <cellStyle name="Normal 5 2 2" xfId="261" xr:uid="{00000000-0005-0000-0000-00001E010000}"/>
    <cellStyle name="Normal 5 3" xfId="203" xr:uid="{00000000-0005-0000-0000-00001F010000}"/>
    <cellStyle name="Normal 6" xfId="85" xr:uid="{00000000-0005-0000-0000-000020010000}"/>
    <cellStyle name="Normal 6 2" xfId="217" xr:uid="{00000000-0005-0000-0000-000021010000}"/>
    <cellStyle name="Normal 7" xfId="99" xr:uid="{00000000-0005-0000-0000-000022010000}"/>
    <cellStyle name="Normal 8" xfId="144" xr:uid="{00000000-0005-0000-0000-000023010000}"/>
    <cellStyle name="Normal 8 2" xfId="275" xr:uid="{00000000-0005-0000-0000-000024010000}"/>
    <cellStyle name="Normal 9" xfId="172" xr:uid="{00000000-0005-0000-0000-000025010000}"/>
    <cellStyle name="Note 10" xfId="304" xr:uid="{00000000-0005-0000-0000-000026010000}"/>
    <cellStyle name="Note 2" xfId="42" xr:uid="{00000000-0005-0000-0000-000027010000}"/>
    <cellStyle name="Note 2 2" xfId="101" xr:uid="{00000000-0005-0000-0000-000028010000}"/>
    <cellStyle name="Note 2 2 2" xfId="232" xr:uid="{00000000-0005-0000-0000-000029010000}"/>
    <cellStyle name="Note 2 3" xfId="174" xr:uid="{00000000-0005-0000-0000-00002A010000}"/>
    <cellStyle name="Note 3" xfId="44" xr:uid="{00000000-0005-0000-0000-00002B010000}"/>
    <cellStyle name="Note 3 2" xfId="103" xr:uid="{00000000-0005-0000-0000-00002C010000}"/>
    <cellStyle name="Note 3 2 2" xfId="234" xr:uid="{00000000-0005-0000-0000-00002D010000}"/>
    <cellStyle name="Note 3 3" xfId="176" xr:uid="{00000000-0005-0000-0000-00002E010000}"/>
    <cellStyle name="Note 4" xfId="58" xr:uid="{00000000-0005-0000-0000-00002F010000}"/>
    <cellStyle name="Note 4 2" xfId="117" xr:uid="{00000000-0005-0000-0000-000030010000}"/>
    <cellStyle name="Note 4 2 2" xfId="248" xr:uid="{00000000-0005-0000-0000-000031010000}"/>
    <cellStyle name="Note 4 3" xfId="190" xr:uid="{00000000-0005-0000-0000-000032010000}"/>
    <cellStyle name="Note 5" xfId="72" xr:uid="{00000000-0005-0000-0000-000033010000}"/>
    <cellStyle name="Note 5 2" xfId="131" xr:uid="{00000000-0005-0000-0000-000034010000}"/>
    <cellStyle name="Note 5 2 2" xfId="262" xr:uid="{00000000-0005-0000-0000-000035010000}"/>
    <cellStyle name="Note 5 3" xfId="204" xr:uid="{00000000-0005-0000-0000-000036010000}"/>
    <cellStyle name="Note 6" xfId="86" xr:uid="{00000000-0005-0000-0000-000037010000}"/>
    <cellStyle name="Note 6 2" xfId="218" xr:uid="{00000000-0005-0000-0000-000038010000}"/>
    <cellStyle name="Note 7" xfId="145" xr:uid="{00000000-0005-0000-0000-000039010000}"/>
    <cellStyle name="Note 7 2" xfId="276" xr:uid="{00000000-0005-0000-0000-00003A010000}"/>
    <cellStyle name="Note 8" xfId="159" xr:uid="{00000000-0005-0000-0000-00003B010000}"/>
    <cellStyle name="Note 9" xfId="290" xr:uid="{00000000-0005-0000-0000-00003C010000}"/>
    <cellStyle name="Output" xfId="10" builtinId="21" customBuiltin="1"/>
    <cellStyle name="Title" xfId="1" builtinId="15" customBuiltin="1"/>
    <cellStyle name="Total" xfId="16" builtinId="25" customBuiltin="1"/>
    <cellStyle name="Warning Text" xfId="14" builtinId="11" customBuiltin="1"/>
  </cellStyles>
  <dxfs count="630">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4" formatCode="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left/>
        <right style="medium">
          <color indexed="64"/>
        </right>
        <top/>
        <bottom/>
        <vertical/>
        <horizontal/>
      </border>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family val="2"/>
        <scheme val="none"/>
      </font>
      <numFmt numFmtId="165" formatCode="0.00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right" vertical="bottom" textRotation="0" wrapText="0" indent="0" justifyLastLine="0" shrinkToFit="0" readingOrder="0"/>
    </dxf>
    <dxf>
      <border outline="0">
        <left style="thin">
          <color rgb="FF388AE2"/>
        </left>
        <right style="thin">
          <color rgb="FF87B8ED"/>
        </right>
        <top style="thin">
          <color rgb="FF000000"/>
        </top>
        <bottom style="medium">
          <color rgb="FF000000"/>
        </bottom>
      </border>
    </dxf>
    <dxf>
      <font>
        <b val="0"/>
        <i val="0"/>
        <strike val="0"/>
        <condense val="0"/>
        <extend val="0"/>
        <outline val="0"/>
        <shadow val="0"/>
        <u val="none"/>
        <vertAlign val="baseline"/>
        <sz val="11"/>
        <color rgb="FF000000"/>
        <name val="Aptos"/>
        <family val="2"/>
        <scheme val="none"/>
      </font>
      <fill>
        <patternFill patternType="none">
          <fgColor rgb="FF000000"/>
          <bgColor auto="1"/>
        </patternFill>
      </fill>
    </dxf>
    <dxf>
      <font>
        <b/>
        <i val="0"/>
        <strike val="0"/>
        <condense val="0"/>
        <extend val="0"/>
        <outline val="0"/>
        <shadow val="0"/>
        <u val="none"/>
        <vertAlign val="baseline"/>
        <sz val="11"/>
        <color theme="0"/>
        <name val="Aptos"/>
        <family val="2"/>
        <scheme val="none"/>
      </font>
      <fill>
        <patternFill patternType="solid">
          <fgColor indexed="64"/>
          <bgColor theme="8" tint="-0.249977111117893"/>
        </patternFill>
      </fill>
      <alignment horizontal="general" vertical="top" textRotation="0" wrapText="1" indent="0" justifyLastLine="0" shrinkToFit="0" readingOrder="0"/>
    </dxf>
  </dxfs>
  <tableStyles count="0" defaultTableStyle="TableStyleMedium2" defaultPivotStyle="PivotStyleLight16"/>
  <colors>
    <mruColors>
      <color rgb="FF1E88E5"/>
      <color rgb="FFD81B22"/>
      <color rgb="FFFFC1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5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5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5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5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5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6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6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ptos" panose="020B0004020202020204" pitchFamily="34" charset="0"/>
              </a:rPr>
              <a:t>Contributions to  GVA growth</a:t>
            </a:r>
          </a:p>
          <a:p>
            <a:pPr>
              <a:defRPr/>
            </a:pPr>
            <a:r>
              <a:rPr lang="en-US" sz="1400" b="0" i="0" u="none" strike="noStrike" kern="1200" spc="0" baseline="0">
                <a:solidFill>
                  <a:sysClr val="windowText" lastClr="000000">
                    <a:lumMod val="65000"/>
                    <a:lumOff val="35000"/>
                  </a:sysClr>
                </a:solidFill>
                <a:latin typeface="Aptos" panose="020B0004020202020204" pitchFamily="34" charset="0"/>
              </a:rPr>
              <a:t>Annual average growth rate and contributions (2002-2022)</a:t>
            </a:r>
          </a:p>
          <a:p>
            <a:pPr>
              <a:defRPr/>
            </a:pPr>
            <a:endParaRPr lang="en-US"/>
          </a:p>
        </c:rich>
      </c:tx>
      <c:layout>
        <c:manualLayout>
          <c:xMode val="edge"/>
          <c:yMode val="edge"/>
          <c:x val="0.34862289358667276"/>
          <c:y val="2.7777733146998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931246399078166E-2"/>
          <c:y val="0.20841799345941278"/>
          <c:w val="0.91468661724587641"/>
          <c:h val="0.71731417537475661"/>
        </c:manualLayout>
      </c:layout>
      <c:barChart>
        <c:barDir val="col"/>
        <c:grouping val="stacked"/>
        <c:varyColors val="0"/>
        <c:ser>
          <c:idx val="0"/>
          <c:order val="0"/>
          <c:tx>
            <c:strRef>
              <c:f>'Cross country comparisons'!$B$11</c:f>
              <c:strCache>
                <c:ptCount val="1"/>
                <c:pt idx="0">
                  <c:v>Hours Worked</c:v>
                </c:pt>
              </c:strCache>
            </c:strRef>
          </c:tx>
          <c:spPr>
            <a:solidFill>
              <a:srgbClr val="FFC107"/>
            </a:solidFill>
            <a:ln>
              <a:noFill/>
            </a:ln>
            <a:effectLst/>
          </c:spPr>
          <c:invertIfNegative val="0"/>
          <c:cat>
            <c:strRef>
              <c:f>'Cross country comparisons'!$A$12:$A$41</c:f>
              <c:strCache>
                <c:ptCount val="30"/>
                <c:pt idx="0">
                  <c:v>EU</c:v>
                </c:pt>
                <c:pt idx="1">
                  <c:v>EA</c:v>
                </c:pt>
                <c:pt idx="2">
                  <c:v>EL</c:v>
                </c:pt>
                <c:pt idx="3">
                  <c:v>IT</c:v>
                </c:pt>
                <c:pt idx="4">
                  <c:v>PT</c:v>
                </c:pt>
                <c:pt idx="5">
                  <c:v>FI</c:v>
                </c:pt>
                <c:pt idx="6">
                  <c:v>DE</c:v>
                </c:pt>
                <c:pt idx="7">
                  <c:v>FR</c:v>
                </c:pt>
                <c:pt idx="8">
                  <c:v>DK</c:v>
                </c:pt>
                <c:pt idx="9">
                  <c:v>ES</c:v>
                </c:pt>
                <c:pt idx="10">
                  <c:v>AT</c:v>
                </c:pt>
                <c:pt idx="11">
                  <c:v>BE</c:v>
                </c:pt>
                <c:pt idx="12">
                  <c:v>NL</c:v>
                </c:pt>
                <c:pt idx="13">
                  <c:v>SE</c:v>
                </c:pt>
                <c:pt idx="14">
                  <c:v>HR</c:v>
                </c:pt>
                <c:pt idx="15">
                  <c:v>SI</c:v>
                </c:pt>
                <c:pt idx="16">
                  <c:v>LU</c:v>
                </c:pt>
                <c:pt idx="17">
                  <c:v>CZ</c:v>
                </c:pt>
                <c:pt idx="18">
                  <c:v>HU</c:v>
                </c:pt>
                <c:pt idx="19">
                  <c:v>CY</c:v>
                </c:pt>
                <c:pt idx="20">
                  <c:v>LV</c:v>
                </c:pt>
                <c:pt idx="21">
                  <c:v>EE</c:v>
                </c:pt>
                <c:pt idx="22">
                  <c:v>BG</c:v>
                </c:pt>
                <c:pt idx="23">
                  <c:v>SK</c:v>
                </c:pt>
                <c:pt idx="24">
                  <c:v>RO</c:v>
                </c:pt>
                <c:pt idx="25">
                  <c:v>PL</c:v>
                </c:pt>
                <c:pt idx="26">
                  <c:v>LT</c:v>
                </c:pt>
                <c:pt idx="27">
                  <c:v>MT</c:v>
                </c:pt>
                <c:pt idx="28">
                  <c:v>IE</c:v>
                </c:pt>
                <c:pt idx="29">
                  <c:v>NO</c:v>
                </c:pt>
              </c:strCache>
            </c:strRef>
          </c:cat>
          <c:val>
            <c:numRef>
              <c:f>'Cross country comparisons'!$B$12:$B$41</c:f>
              <c:numCache>
                <c:formatCode>0.0</c:formatCode>
                <c:ptCount val="30"/>
                <c:pt idx="0">
                  <c:v>0.23026097500275491</c:v>
                </c:pt>
                <c:pt idx="1">
                  <c:v>0.2546348115463638</c:v>
                </c:pt>
                <c:pt idx="2">
                  <c:v>0.17433660844604407</c:v>
                </c:pt>
                <c:pt idx="3">
                  <c:v>5.453165306235902E-2</c:v>
                </c:pt>
                <c:pt idx="4">
                  <c:v>-9.5219179229414821E-2</c:v>
                </c:pt>
                <c:pt idx="5">
                  <c:v>0.23823862949448693</c:v>
                </c:pt>
                <c:pt idx="6">
                  <c:v>0.16286642431631129</c:v>
                </c:pt>
                <c:pt idx="7">
                  <c:v>0.41840871710574762</c:v>
                </c:pt>
                <c:pt idx="8">
                  <c:v>0.193480191344298</c:v>
                </c:pt>
                <c:pt idx="9">
                  <c:v>0.36070089154196755</c:v>
                </c:pt>
                <c:pt idx="10">
                  <c:v>0.19915310326347488</c:v>
                </c:pt>
                <c:pt idx="11">
                  <c:v>0.68992494556268791</c:v>
                </c:pt>
                <c:pt idx="12">
                  <c:v>0.53489890819004748</c:v>
                </c:pt>
                <c:pt idx="13">
                  <c:v>0.47005081758201656</c:v>
                </c:pt>
                <c:pt idx="14">
                  <c:v>0.32073111738173549</c:v>
                </c:pt>
                <c:pt idx="15">
                  <c:v>0.38376157316813486</c:v>
                </c:pt>
                <c:pt idx="16">
                  <c:v>1.3527057617507969</c:v>
                </c:pt>
                <c:pt idx="17">
                  <c:v>0.18598072396860935</c:v>
                </c:pt>
                <c:pt idx="18">
                  <c:v>6.4942984409565099E-2</c:v>
                </c:pt>
                <c:pt idx="19">
                  <c:v>1.0048021791335429</c:v>
                </c:pt>
                <c:pt idx="20">
                  <c:v>-0.54409472165703665</c:v>
                </c:pt>
                <c:pt idx="21">
                  <c:v>-0.15590264748987659</c:v>
                </c:pt>
                <c:pt idx="22">
                  <c:v>9.6738740829906966E-2</c:v>
                </c:pt>
                <c:pt idx="23">
                  <c:v>0.12797335075165114</c:v>
                </c:pt>
                <c:pt idx="24">
                  <c:v>-0.72092821505017524</c:v>
                </c:pt>
                <c:pt idx="25">
                  <c:v>0.48932690122366662</c:v>
                </c:pt>
                <c:pt idx="26">
                  <c:v>0.15535247744299743</c:v>
                </c:pt>
                <c:pt idx="27">
                  <c:v>1.2971346280032197</c:v>
                </c:pt>
                <c:pt idx="28">
                  <c:v>0.38151825262895589</c:v>
                </c:pt>
                <c:pt idx="29">
                  <c:v>0.5630743242436439</c:v>
                </c:pt>
              </c:numCache>
            </c:numRef>
          </c:val>
          <c:extLst>
            <c:ext xmlns:c16="http://schemas.microsoft.com/office/drawing/2014/chart" uri="{C3380CC4-5D6E-409C-BE32-E72D297353CC}">
              <c16:uniqueId val="{00000000-4500-4806-BC06-3264BF4E4243}"/>
            </c:ext>
          </c:extLst>
        </c:ser>
        <c:ser>
          <c:idx val="1"/>
          <c:order val="1"/>
          <c:tx>
            <c:strRef>
              <c:f>'Cross country comparisons'!$C$11</c:f>
              <c:strCache>
                <c:ptCount val="1"/>
                <c:pt idx="0">
                  <c:v>Capital Stock (net)</c:v>
                </c:pt>
              </c:strCache>
            </c:strRef>
          </c:tx>
          <c:spPr>
            <a:solidFill>
              <a:srgbClr val="1E88E5"/>
            </a:solidFill>
            <a:ln>
              <a:noFill/>
            </a:ln>
            <a:effectLst/>
          </c:spPr>
          <c:invertIfNegative val="0"/>
          <c:cat>
            <c:strRef>
              <c:f>'Cross country comparisons'!$A$12:$A$41</c:f>
              <c:strCache>
                <c:ptCount val="30"/>
                <c:pt idx="0">
                  <c:v>EU</c:v>
                </c:pt>
                <c:pt idx="1">
                  <c:v>EA</c:v>
                </c:pt>
                <c:pt idx="2">
                  <c:v>EL</c:v>
                </c:pt>
                <c:pt idx="3">
                  <c:v>IT</c:v>
                </c:pt>
                <c:pt idx="4">
                  <c:v>PT</c:v>
                </c:pt>
                <c:pt idx="5">
                  <c:v>FI</c:v>
                </c:pt>
                <c:pt idx="6">
                  <c:v>DE</c:v>
                </c:pt>
                <c:pt idx="7">
                  <c:v>FR</c:v>
                </c:pt>
                <c:pt idx="8">
                  <c:v>DK</c:v>
                </c:pt>
                <c:pt idx="9">
                  <c:v>ES</c:v>
                </c:pt>
                <c:pt idx="10">
                  <c:v>AT</c:v>
                </c:pt>
                <c:pt idx="11">
                  <c:v>BE</c:v>
                </c:pt>
                <c:pt idx="12">
                  <c:v>NL</c:v>
                </c:pt>
                <c:pt idx="13">
                  <c:v>SE</c:v>
                </c:pt>
                <c:pt idx="14">
                  <c:v>HR</c:v>
                </c:pt>
                <c:pt idx="15">
                  <c:v>SI</c:v>
                </c:pt>
                <c:pt idx="16">
                  <c:v>LU</c:v>
                </c:pt>
                <c:pt idx="17">
                  <c:v>CZ</c:v>
                </c:pt>
                <c:pt idx="18">
                  <c:v>HU</c:v>
                </c:pt>
                <c:pt idx="19">
                  <c:v>CY</c:v>
                </c:pt>
                <c:pt idx="20">
                  <c:v>LV</c:v>
                </c:pt>
                <c:pt idx="21">
                  <c:v>EE</c:v>
                </c:pt>
                <c:pt idx="22">
                  <c:v>BG</c:v>
                </c:pt>
                <c:pt idx="23">
                  <c:v>SK</c:v>
                </c:pt>
                <c:pt idx="24">
                  <c:v>RO</c:v>
                </c:pt>
                <c:pt idx="25">
                  <c:v>PL</c:v>
                </c:pt>
                <c:pt idx="26">
                  <c:v>LT</c:v>
                </c:pt>
                <c:pt idx="27">
                  <c:v>MT</c:v>
                </c:pt>
                <c:pt idx="28">
                  <c:v>IE</c:v>
                </c:pt>
                <c:pt idx="29">
                  <c:v>NO</c:v>
                </c:pt>
              </c:strCache>
            </c:strRef>
          </c:cat>
          <c:val>
            <c:numRef>
              <c:f>'Cross country comparisons'!$C$12:$C$41</c:f>
              <c:numCache>
                <c:formatCode>0.0</c:formatCode>
                <c:ptCount val="30"/>
                <c:pt idx="0">
                  <c:v>0.4412678534520218</c:v>
                </c:pt>
                <c:pt idx="1">
                  <c:v>0.43797654505963657</c:v>
                </c:pt>
                <c:pt idx="2">
                  <c:v>9.6703849427314831E-2</c:v>
                </c:pt>
                <c:pt idx="3">
                  <c:v>0.22812377733682215</c:v>
                </c:pt>
                <c:pt idx="4">
                  <c:v>7.1303025403550116E-2</c:v>
                </c:pt>
                <c:pt idx="5">
                  <c:v>0.52759197600328578</c:v>
                </c:pt>
                <c:pt idx="6">
                  <c:v>0.22265435729124244</c:v>
                </c:pt>
                <c:pt idx="7">
                  <c:v>0.49603586832576746</c:v>
                </c:pt>
                <c:pt idx="8">
                  <c:v>0.58875531880248033</c:v>
                </c:pt>
                <c:pt idx="9">
                  <c:v>0.79001873143454426</c:v>
                </c:pt>
                <c:pt idx="10">
                  <c:v>0.49863085530477541</c:v>
                </c:pt>
                <c:pt idx="11">
                  <c:v>0.40888676692740489</c:v>
                </c:pt>
                <c:pt idx="12">
                  <c:v>0.44142701041357912</c:v>
                </c:pt>
                <c:pt idx="13">
                  <c:v>0.8902732002127377</c:v>
                </c:pt>
                <c:pt idx="14">
                  <c:v>1.0370673660950676</c:v>
                </c:pt>
                <c:pt idx="15">
                  <c:v>0.33438288555061679</c:v>
                </c:pt>
                <c:pt idx="16">
                  <c:v>1.4497265912434387</c:v>
                </c:pt>
                <c:pt idx="17">
                  <c:v>0.9102594425607019</c:v>
                </c:pt>
                <c:pt idx="18">
                  <c:v>0.57579666386733164</c:v>
                </c:pt>
                <c:pt idx="19">
                  <c:v>0.89968025961358356</c:v>
                </c:pt>
                <c:pt idx="20">
                  <c:v>1.1725494879824185</c:v>
                </c:pt>
                <c:pt idx="21">
                  <c:v>1.8123824061200284</c:v>
                </c:pt>
                <c:pt idx="22">
                  <c:v>0.44632077771975487</c:v>
                </c:pt>
                <c:pt idx="23">
                  <c:v>0.97798902671879284</c:v>
                </c:pt>
                <c:pt idx="24">
                  <c:v>0.83978774059938543</c:v>
                </c:pt>
                <c:pt idx="25">
                  <c:v>1.362258531073048</c:v>
                </c:pt>
                <c:pt idx="26">
                  <c:v>1.287466912285862</c:v>
                </c:pt>
                <c:pt idx="27">
                  <c:v>1.5658149478907115</c:v>
                </c:pt>
                <c:pt idx="28">
                  <c:v>3.0129439648090361</c:v>
                </c:pt>
                <c:pt idx="29">
                  <c:v>1.0706616587450541</c:v>
                </c:pt>
              </c:numCache>
            </c:numRef>
          </c:val>
          <c:extLst>
            <c:ext xmlns:c16="http://schemas.microsoft.com/office/drawing/2014/chart" uri="{C3380CC4-5D6E-409C-BE32-E72D297353CC}">
              <c16:uniqueId val="{00000001-4500-4806-BC06-3264BF4E4243}"/>
            </c:ext>
          </c:extLst>
        </c:ser>
        <c:ser>
          <c:idx val="2"/>
          <c:order val="2"/>
          <c:tx>
            <c:strRef>
              <c:f>'Cross country comparisons'!$D$11</c:f>
              <c:strCache>
                <c:ptCount val="1"/>
                <c:pt idx="0">
                  <c:v>MFP</c:v>
                </c:pt>
              </c:strCache>
            </c:strRef>
          </c:tx>
          <c:spPr>
            <a:solidFill>
              <a:srgbClr val="D81B22"/>
            </a:solidFill>
            <a:ln>
              <a:noFill/>
            </a:ln>
            <a:effectLst/>
          </c:spPr>
          <c:invertIfNegative val="0"/>
          <c:cat>
            <c:strRef>
              <c:f>'Cross country comparisons'!$A$12:$A$41</c:f>
              <c:strCache>
                <c:ptCount val="30"/>
                <c:pt idx="0">
                  <c:v>EU</c:v>
                </c:pt>
                <c:pt idx="1">
                  <c:v>EA</c:v>
                </c:pt>
                <c:pt idx="2">
                  <c:v>EL</c:v>
                </c:pt>
                <c:pt idx="3">
                  <c:v>IT</c:v>
                </c:pt>
                <c:pt idx="4">
                  <c:v>PT</c:v>
                </c:pt>
                <c:pt idx="5">
                  <c:v>FI</c:v>
                </c:pt>
                <c:pt idx="6">
                  <c:v>DE</c:v>
                </c:pt>
                <c:pt idx="7">
                  <c:v>FR</c:v>
                </c:pt>
                <c:pt idx="8">
                  <c:v>DK</c:v>
                </c:pt>
                <c:pt idx="9">
                  <c:v>ES</c:v>
                </c:pt>
                <c:pt idx="10">
                  <c:v>AT</c:v>
                </c:pt>
                <c:pt idx="11">
                  <c:v>BE</c:v>
                </c:pt>
                <c:pt idx="12">
                  <c:v>NL</c:v>
                </c:pt>
                <c:pt idx="13">
                  <c:v>SE</c:v>
                </c:pt>
                <c:pt idx="14">
                  <c:v>HR</c:v>
                </c:pt>
                <c:pt idx="15">
                  <c:v>SI</c:v>
                </c:pt>
                <c:pt idx="16">
                  <c:v>LU</c:v>
                </c:pt>
                <c:pt idx="17">
                  <c:v>CZ</c:v>
                </c:pt>
                <c:pt idx="18">
                  <c:v>HU</c:v>
                </c:pt>
                <c:pt idx="19">
                  <c:v>CY</c:v>
                </c:pt>
                <c:pt idx="20">
                  <c:v>LV</c:v>
                </c:pt>
                <c:pt idx="21">
                  <c:v>EE</c:v>
                </c:pt>
                <c:pt idx="22">
                  <c:v>BG</c:v>
                </c:pt>
                <c:pt idx="23">
                  <c:v>SK</c:v>
                </c:pt>
                <c:pt idx="24">
                  <c:v>RO</c:v>
                </c:pt>
                <c:pt idx="25">
                  <c:v>PL</c:v>
                </c:pt>
                <c:pt idx="26">
                  <c:v>LT</c:v>
                </c:pt>
                <c:pt idx="27">
                  <c:v>MT</c:v>
                </c:pt>
                <c:pt idx="28">
                  <c:v>IE</c:v>
                </c:pt>
                <c:pt idx="29">
                  <c:v>NO</c:v>
                </c:pt>
              </c:strCache>
            </c:strRef>
          </c:cat>
          <c:val>
            <c:numRef>
              <c:f>'Cross country comparisons'!$D$12:$D$41</c:f>
              <c:numCache>
                <c:formatCode>0.0</c:formatCode>
                <c:ptCount val="30"/>
                <c:pt idx="0">
                  <c:v>0.74585581446374838</c:v>
                </c:pt>
                <c:pt idx="1">
                  <c:v>0.5646919788093443</c:v>
                </c:pt>
                <c:pt idx="2">
                  <c:v>6.579451155032745E-2</c:v>
                </c:pt>
                <c:pt idx="3">
                  <c:v>0.12135773199014241</c:v>
                </c:pt>
                <c:pt idx="4">
                  <c:v>0.82482194239091167</c:v>
                </c:pt>
                <c:pt idx="5">
                  <c:v>0.25927063422157037</c:v>
                </c:pt>
                <c:pt idx="6">
                  <c:v>0.78250569638050727</c:v>
                </c:pt>
                <c:pt idx="7">
                  <c:v>0.2979566419336005</c:v>
                </c:pt>
                <c:pt idx="8">
                  <c:v>0.48190300123605434</c:v>
                </c:pt>
                <c:pt idx="9">
                  <c:v>0.1952519321697602</c:v>
                </c:pt>
                <c:pt idx="10">
                  <c:v>0.85355839907119369</c:v>
                </c:pt>
                <c:pt idx="11">
                  <c:v>0.54350980679152461</c:v>
                </c:pt>
                <c:pt idx="12">
                  <c:v>0.68584921344008642</c:v>
                </c:pt>
                <c:pt idx="13">
                  <c:v>0.66995529791038611</c:v>
                </c:pt>
                <c:pt idx="14">
                  <c:v>0.74962625620791645</c:v>
                </c:pt>
                <c:pt idx="15">
                  <c:v>1.7099469243653784</c:v>
                </c:pt>
                <c:pt idx="16">
                  <c:v>-0.35944219525351573</c:v>
                </c:pt>
                <c:pt idx="17">
                  <c:v>1.3876028012320798</c:v>
                </c:pt>
                <c:pt idx="18">
                  <c:v>1.8474867311865864</c:v>
                </c:pt>
                <c:pt idx="19">
                  <c:v>0.92543869928799349</c:v>
                </c:pt>
                <c:pt idx="20">
                  <c:v>2.49647319151754</c:v>
                </c:pt>
                <c:pt idx="21">
                  <c:v>1.4923711289200747</c:v>
                </c:pt>
                <c:pt idx="22">
                  <c:v>2.7562657794007963</c:v>
                </c:pt>
                <c:pt idx="23">
                  <c:v>2.2551539120097623</c:v>
                </c:pt>
                <c:pt idx="24">
                  <c:v>3.373927642845743</c:v>
                </c:pt>
                <c:pt idx="25">
                  <c:v>1.9127977218863854</c:v>
                </c:pt>
                <c:pt idx="26">
                  <c:v>2.4138409004952579</c:v>
                </c:pt>
                <c:pt idx="27">
                  <c:v>1.951515070019846</c:v>
                </c:pt>
                <c:pt idx="28">
                  <c:v>1.6999149868031891</c:v>
                </c:pt>
                <c:pt idx="29">
                  <c:v>-0.14871092069384831</c:v>
                </c:pt>
              </c:numCache>
            </c:numRef>
          </c:val>
          <c:extLst>
            <c:ext xmlns:c16="http://schemas.microsoft.com/office/drawing/2014/chart" uri="{C3380CC4-5D6E-409C-BE32-E72D297353CC}">
              <c16:uniqueId val="{00000002-4500-4806-BC06-3264BF4E4243}"/>
            </c:ext>
          </c:extLst>
        </c:ser>
        <c:dLbls>
          <c:showLegendKey val="0"/>
          <c:showVal val="0"/>
          <c:showCatName val="0"/>
          <c:showSerName val="0"/>
          <c:showPercent val="0"/>
          <c:showBubbleSize val="0"/>
        </c:dLbls>
        <c:gapWidth val="150"/>
        <c:overlap val="100"/>
        <c:axId val="606642928"/>
        <c:axId val="606643256"/>
      </c:barChart>
      <c:lineChart>
        <c:grouping val="standard"/>
        <c:varyColors val="0"/>
        <c:ser>
          <c:idx val="3"/>
          <c:order val="3"/>
          <c:tx>
            <c:strRef>
              <c:f>'Cross country comparisons'!$E$11</c:f>
              <c:strCache>
                <c:ptCount val="1"/>
                <c:pt idx="0">
                  <c:v>GVA growth</c:v>
                </c:pt>
              </c:strCache>
            </c:strRef>
          </c:tx>
          <c:spPr>
            <a:ln w="25400" cap="rnd">
              <a:noFill/>
              <a:round/>
            </a:ln>
            <a:effectLst/>
          </c:spPr>
          <c:marker>
            <c:symbol val="circle"/>
            <c:size val="5"/>
            <c:spPr>
              <a:solidFill>
                <a:schemeClr val="tx1"/>
              </a:solidFill>
              <a:ln w="9525">
                <a:solidFill>
                  <a:schemeClr val="accent4"/>
                </a:solidFill>
              </a:ln>
              <a:effectLst/>
            </c:spPr>
          </c:marker>
          <c:cat>
            <c:strRef>
              <c:f>'Cross country comparisons'!$A$12:$A$41</c:f>
              <c:strCache>
                <c:ptCount val="30"/>
                <c:pt idx="0">
                  <c:v>EU</c:v>
                </c:pt>
                <c:pt idx="1">
                  <c:v>EA</c:v>
                </c:pt>
                <c:pt idx="2">
                  <c:v>EL</c:v>
                </c:pt>
                <c:pt idx="3">
                  <c:v>IT</c:v>
                </c:pt>
                <c:pt idx="4">
                  <c:v>PT</c:v>
                </c:pt>
                <c:pt idx="5">
                  <c:v>FI</c:v>
                </c:pt>
                <c:pt idx="6">
                  <c:v>DE</c:v>
                </c:pt>
                <c:pt idx="7">
                  <c:v>FR</c:v>
                </c:pt>
                <c:pt idx="8">
                  <c:v>DK</c:v>
                </c:pt>
                <c:pt idx="9">
                  <c:v>ES</c:v>
                </c:pt>
                <c:pt idx="10">
                  <c:v>AT</c:v>
                </c:pt>
                <c:pt idx="11">
                  <c:v>BE</c:v>
                </c:pt>
                <c:pt idx="12">
                  <c:v>NL</c:v>
                </c:pt>
                <c:pt idx="13">
                  <c:v>SE</c:v>
                </c:pt>
                <c:pt idx="14">
                  <c:v>HR</c:v>
                </c:pt>
                <c:pt idx="15">
                  <c:v>SI</c:v>
                </c:pt>
                <c:pt idx="16">
                  <c:v>LU</c:v>
                </c:pt>
                <c:pt idx="17">
                  <c:v>CZ</c:v>
                </c:pt>
                <c:pt idx="18">
                  <c:v>HU</c:v>
                </c:pt>
                <c:pt idx="19">
                  <c:v>CY</c:v>
                </c:pt>
                <c:pt idx="20">
                  <c:v>LV</c:v>
                </c:pt>
                <c:pt idx="21">
                  <c:v>EE</c:v>
                </c:pt>
                <c:pt idx="22">
                  <c:v>BG</c:v>
                </c:pt>
                <c:pt idx="23">
                  <c:v>SK</c:v>
                </c:pt>
                <c:pt idx="24">
                  <c:v>RO</c:v>
                </c:pt>
                <c:pt idx="25">
                  <c:v>PL</c:v>
                </c:pt>
                <c:pt idx="26">
                  <c:v>LT</c:v>
                </c:pt>
                <c:pt idx="27">
                  <c:v>MT</c:v>
                </c:pt>
                <c:pt idx="28">
                  <c:v>IE</c:v>
                </c:pt>
                <c:pt idx="29">
                  <c:v>NO</c:v>
                </c:pt>
              </c:strCache>
            </c:strRef>
          </c:cat>
          <c:val>
            <c:numRef>
              <c:f>'Cross country comparisons'!$E$12:$E$41</c:f>
              <c:numCache>
                <c:formatCode>0.0</c:formatCode>
                <c:ptCount val="30"/>
                <c:pt idx="0">
                  <c:v>1.4173846429185251</c:v>
                </c:pt>
                <c:pt idx="1">
                  <c:v>1.2573033354153449</c:v>
                </c:pt>
                <c:pt idx="2">
                  <c:v>0.33683496942368646</c:v>
                </c:pt>
                <c:pt idx="3">
                  <c:v>0.40401316238932355</c:v>
                </c:pt>
                <c:pt idx="4">
                  <c:v>0.80090578856504702</c:v>
                </c:pt>
                <c:pt idx="5">
                  <c:v>1.0251012397193431</c:v>
                </c:pt>
                <c:pt idx="6">
                  <c:v>1.1680264779880611</c:v>
                </c:pt>
                <c:pt idx="7">
                  <c:v>1.2124012273651157</c:v>
                </c:pt>
                <c:pt idx="8">
                  <c:v>1.2641385113828327</c:v>
                </c:pt>
                <c:pt idx="9">
                  <c:v>1.3459715551462721</c:v>
                </c:pt>
                <c:pt idx="10">
                  <c:v>1.5513423576394441</c:v>
                </c:pt>
                <c:pt idx="11">
                  <c:v>1.6423215192816172</c:v>
                </c:pt>
                <c:pt idx="12">
                  <c:v>1.662175132043713</c:v>
                </c:pt>
                <c:pt idx="13">
                  <c:v>2.0302793157051404</c:v>
                </c:pt>
                <c:pt idx="14">
                  <c:v>2.1074247396847192</c:v>
                </c:pt>
                <c:pt idx="15">
                  <c:v>2.42809138308413</c:v>
                </c:pt>
                <c:pt idx="16">
                  <c:v>2.44299015774072</c:v>
                </c:pt>
                <c:pt idx="17">
                  <c:v>2.4838429677613911</c:v>
                </c:pt>
                <c:pt idx="18">
                  <c:v>2.4882263794634829</c:v>
                </c:pt>
                <c:pt idx="19">
                  <c:v>2.8299211380351204</c:v>
                </c:pt>
                <c:pt idx="20">
                  <c:v>3.1249279578429219</c:v>
                </c:pt>
                <c:pt idx="21">
                  <c:v>3.1488508875502275</c:v>
                </c:pt>
                <c:pt idx="22">
                  <c:v>3.2993252979504581</c:v>
                </c:pt>
                <c:pt idx="23">
                  <c:v>3.3611162894802065</c:v>
                </c:pt>
                <c:pt idx="24">
                  <c:v>3.4927871683949521</c:v>
                </c:pt>
                <c:pt idx="25">
                  <c:v>3.7643831541830988</c:v>
                </c:pt>
                <c:pt idx="26">
                  <c:v>3.8566602902241169</c:v>
                </c:pt>
                <c:pt idx="27">
                  <c:v>4.8144646459137777</c:v>
                </c:pt>
                <c:pt idx="28">
                  <c:v>5.0943772042411819</c:v>
                </c:pt>
                <c:pt idx="29">
                  <c:v>1.4850250622948498</c:v>
                </c:pt>
              </c:numCache>
            </c:numRef>
          </c:val>
          <c:smooth val="0"/>
          <c:extLst>
            <c:ext xmlns:c16="http://schemas.microsoft.com/office/drawing/2014/chart" uri="{C3380CC4-5D6E-409C-BE32-E72D297353CC}">
              <c16:uniqueId val="{00000003-4500-4806-BC06-3264BF4E4243}"/>
            </c:ext>
          </c:extLst>
        </c:ser>
        <c:dLbls>
          <c:showLegendKey val="0"/>
          <c:showVal val="0"/>
          <c:showCatName val="0"/>
          <c:showSerName val="0"/>
          <c:showPercent val="0"/>
          <c:showBubbleSize val="0"/>
        </c:dLbls>
        <c:marker val="1"/>
        <c:smooth val="0"/>
        <c:axId val="606642928"/>
        <c:axId val="606643256"/>
      </c:lineChart>
      <c:catAx>
        <c:axId val="60664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a:t>
                </a:r>
              </a:p>
            </c:rich>
          </c:tx>
          <c:layout>
            <c:manualLayout>
              <c:xMode val="edge"/>
              <c:yMode val="edge"/>
              <c:x val="3.6689731525048438E-2"/>
              <c:y val="0.112556512289114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43256"/>
        <c:crosses val="autoZero"/>
        <c:auto val="1"/>
        <c:lblAlgn val="ctr"/>
        <c:lblOffset val="100"/>
        <c:noMultiLvlLbl val="0"/>
      </c:catAx>
      <c:valAx>
        <c:axId val="6066432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42928"/>
        <c:crosses val="autoZero"/>
        <c:crossBetween val="between"/>
      </c:valAx>
      <c:spPr>
        <a:noFill/>
        <a:ln>
          <a:noFill/>
        </a:ln>
        <a:effectLst/>
      </c:spPr>
    </c:plotArea>
    <c:legend>
      <c:legendPos val="b"/>
      <c:layout>
        <c:manualLayout>
          <c:xMode val="edge"/>
          <c:yMode val="edge"/>
          <c:x val="4.797184033808969E-2"/>
          <c:y val="0.2124964612254748"/>
          <c:w val="0.93205485078505979"/>
          <c:h val="9.451653029464134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ptos" panose="020B0004020202020204" pitchFamily="34" charset="0"/>
              </a:rPr>
              <a:t> Contributions to GVA growth</a:t>
            </a:r>
          </a:p>
          <a:p>
            <a:pPr>
              <a:defRPr/>
            </a:pPr>
            <a:r>
              <a:rPr lang="en-US" sz="1400" b="0" i="0" u="none" strike="noStrike" kern="1200" spc="0" baseline="0">
                <a:solidFill>
                  <a:sysClr val="windowText" lastClr="000000">
                    <a:lumMod val="65000"/>
                    <a:lumOff val="35000"/>
                  </a:sysClr>
                </a:solidFill>
                <a:latin typeface="Aptos" panose="020B0004020202020204" pitchFamily="34" charset="0"/>
              </a:rPr>
              <a:t>Annual average growth rate and contributions </a:t>
            </a:r>
            <a:r>
              <a:rPr lang="en-US" sz="1400">
                <a:latin typeface="Aptos" panose="020B0004020202020204" pitchFamily="34" charset="0"/>
              </a:rPr>
              <a:t>(2011-2022)</a:t>
            </a:r>
          </a:p>
        </c:rich>
      </c:tx>
      <c:layout>
        <c:manualLayout>
          <c:xMode val="edge"/>
          <c:yMode val="edge"/>
          <c:x val="0.34841246599153569"/>
          <c:y val="2.3728817359479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805759872276725E-2"/>
          <c:y val="0.21347863087953839"/>
          <c:w val="0.91009992285913577"/>
          <c:h val="0.70239531289470825"/>
        </c:manualLayout>
      </c:layout>
      <c:barChart>
        <c:barDir val="col"/>
        <c:grouping val="stacked"/>
        <c:varyColors val="0"/>
        <c:ser>
          <c:idx val="0"/>
          <c:order val="0"/>
          <c:tx>
            <c:strRef>
              <c:f>'Cross country comparisons'!$B$79</c:f>
              <c:strCache>
                <c:ptCount val="1"/>
                <c:pt idx="0">
                  <c:v>Hours Worked</c:v>
                </c:pt>
              </c:strCache>
            </c:strRef>
          </c:tx>
          <c:spPr>
            <a:solidFill>
              <a:srgbClr val="FFC107"/>
            </a:solidFill>
            <a:ln>
              <a:noFill/>
            </a:ln>
            <a:effectLst/>
          </c:spPr>
          <c:invertIfNegative val="0"/>
          <c:cat>
            <c:strRef>
              <c:f>'Cross country comparisons'!$A$80:$A$109</c:f>
              <c:strCache>
                <c:ptCount val="30"/>
                <c:pt idx="0">
                  <c:v>EU</c:v>
                </c:pt>
                <c:pt idx="1">
                  <c:v>EA</c:v>
                </c:pt>
                <c:pt idx="2">
                  <c:v>EL</c:v>
                </c:pt>
                <c:pt idx="3">
                  <c:v>IT</c:v>
                </c:pt>
                <c:pt idx="4">
                  <c:v>FI</c:v>
                </c:pt>
                <c:pt idx="5">
                  <c:v>PT</c:v>
                </c:pt>
                <c:pt idx="6">
                  <c:v>ES</c:v>
                </c:pt>
                <c:pt idx="7">
                  <c:v>FR</c:v>
                </c:pt>
                <c:pt idx="8">
                  <c:v>DE</c:v>
                </c:pt>
                <c:pt idx="9">
                  <c:v>AT</c:v>
                </c:pt>
                <c:pt idx="10">
                  <c:v>BE</c:v>
                </c:pt>
                <c:pt idx="11">
                  <c:v>DK</c:v>
                </c:pt>
                <c:pt idx="12">
                  <c:v>HR</c:v>
                </c:pt>
                <c:pt idx="13">
                  <c:v>NL</c:v>
                </c:pt>
                <c:pt idx="14">
                  <c:v>SE</c:v>
                </c:pt>
                <c:pt idx="15">
                  <c:v>CZ</c:v>
                </c:pt>
                <c:pt idx="16">
                  <c:v>SK</c:v>
                </c:pt>
                <c:pt idx="17">
                  <c:v>LU</c:v>
                </c:pt>
                <c:pt idx="18">
                  <c:v>SI</c:v>
                </c:pt>
                <c:pt idx="19">
                  <c:v>BG</c:v>
                </c:pt>
                <c:pt idx="20">
                  <c:v>CY</c:v>
                </c:pt>
                <c:pt idx="21">
                  <c:v>LV</c:v>
                </c:pt>
                <c:pt idx="22">
                  <c:v>HU</c:v>
                </c:pt>
                <c:pt idx="23">
                  <c:v>EE</c:v>
                </c:pt>
                <c:pt idx="24">
                  <c:v>RO</c:v>
                </c:pt>
                <c:pt idx="25">
                  <c:v>PL</c:v>
                </c:pt>
                <c:pt idx="26">
                  <c:v>LT</c:v>
                </c:pt>
                <c:pt idx="27">
                  <c:v>MT</c:v>
                </c:pt>
                <c:pt idx="28">
                  <c:v>IE</c:v>
                </c:pt>
                <c:pt idx="29">
                  <c:v>NO</c:v>
                </c:pt>
              </c:strCache>
            </c:strRef>
          </c:cat>
          <c:val>
            <c:numRef>
              <c:f>'Cross country comparisons'!$B$80:$B$109</c:f>
              <c:numCache>
                <c:formatCode>0.0</c:formatCode>
                <c:ptCount val="30"/>
                <c:pt idx="0">
                  <c:v>0.32709629314628541</c:v>
                </c:pt>
                <c:pt idx="1">
                  <c:v>0.30473521712231649</c:v>
                </c:pt>
                <c:pt idx="2">
                  <c:v>0.1455540048819268</c:v>
                </c:pt>
                <c:pt idx="3">
                  <c:v>2.7548773031725093E-2</c:v>
                </c:pt>
                <c:pt idx="4">
                  <c:v>0.25000012018221862</c:v>
                </c:pt>
                <c:pt idx="5">
                  <c:v>0.15012980102898155</c:v>
                </c:pt>
                <c:pt idx="6">
                  <c:v>0.1459712726101339</c:v>
                </c:pt>
                <c:pt idx="7">
                  <c:v>0.52567298229900672</c:v>
                </c:pt>
                <c:pt idx="8">
                  <c:v>0.24861267064329337</c:v>
                </c:pt>
                <c:pt idx="9">
                  <c:v>0.29595667334001446</c:v>
                </c:pt>
                <c:pt idx="10">
                  <c:v>0.75378402530131783</c:v>
                </c:pt>
                <c:pt idx="11">
                  <c:v>0.5114680784030563</c:v>
                </c:pt>
                <c:pt idx="12">
                  <c:v>-7.178300011807119E-3</c:v>
                </c:pt>
                <c:pt idx="13">
                  <c:v>0.81311717829743657</c:v>
                </c:pt>
                <c:pt idx="14">
                  <c:v>0.65952263966228031</c:v>
                </c:pt>
                <c:pt idx="15">
                  <c:v>0.19199184860559479</c:v>
                </c:pt>
                <c:pt idx="16">
                  <c:v>-3.4396551042891001E-2</c:v>
                </c:pt>
                <c:pt idx="17">
                  <c:v>1.3947976893119973</c:v>
                </c:pt>
                <c:pt idx="18">
                  <c:v>0.45851834675371278</c:v>
                </c:pt>
                <c:pt idx="19">
                  <c:v>-0.30097200720868345</c:v>
                </c:pt>
                <c:pt idx="20">
                  <c:v>0.77347147046904408</c:v>
                </c:pt>
                <c:pt idx="21">
                  <c:v>0.14444594779865627</c:v>
                </c:pt>
                <c:pt idx="22">
                  <c:v>0.69982121172566492</c:v>
                </c:pt>
                <c:pt idx="23">
                  <c:v>0.40980563326999042</c:v>
                </c:pt>
                <c:pt idx="24">
                  <c:v>-0.14707530514061759</c:v>
                </c:pt>
                <c:pt idx="25">
                  <c:v>0.58361619169241774</c:v>
                </c:pt>
                <c:pt idx="26">
                  <c:v>0.48778375677046065</c:v>
                </c:pt>
                <c:pt idx="27">
                  <c:v>1.9875161282941223</c:v>
                </c:pt>
                <c:pt idx="28">
                  <c:v>1.0000793514176023</c:v>
                </c:pt>
                <c:pt idx="29">
                  <c:v>0.57255942182336705</c:v>
                </c:pt>
              </c:numCache>
            </c:numRef>
          </c:val>
          <c:extLst>
            <c:ext xmlns:c16="http://schemas.microsoft.com/office/drawing/2014/chart" uri="{C3380CC4-5D6E-409C-BE32-E72D297353CC}">
              <c16:uniqueId val="{00000000-35F4-4B9E-B565-CA83AA671C83}"/>
            </c:ext>
          </c:extLst>
        </c:ser>
        <c:ser>
          <c:idx val="1"/>
          <c:order val="1"/>
          <c:tx>
            <c:strRef>
              <c:f>'Cross country comparisons'!$C$79</c:f>
              <c:strCache>
                <c:ptCount val="1"/>
                <c:pt idx="0">
                  <c:v>Capital Stock (net)</c:v>
                </c:pt>
              </c:strCache>
            </c:strRef>
          </c:tx>
          <c:spPr>
            <a:solidFill>
              <a:srgbClr val="1E88E5"/>
            </a:solidFill>
            <a:ln>
              <a:noFill/>
            </a:ln>
            <a:effectLst/>
          </c:spPr>
          <c:invertIfNegative val="0"/>
          <c:cat>
            <c:strRef>
              <c:f>'Cross country comparisons'!$A$80:$A$109</c:f>
              <c:strCache>
                <c:ptCount val="30"/>
                <c:pt idx="0">
                  <c:v>EU</c:v>
                </c:pt>
                <c:pt idx="1">
                  <c:v>EA</c:v>
                </c:pt>
                <c:pt idx="2">
                  <c:v>EL</c:v>
                </c:pt>
                <c:pt idx="3">
                  <c:v>IT</c:v>
                </c:pt>
                <c:pt idx="4">
                  <c:v>FI</c:v>
                </c:pt>
                <c:pt idx="5">
                  <c:v>PT</c:v>
                </c:pt>
                <c:pt idx="6">
                  <c:v>ES</c:v>
                </c:pt>
                <c:pt idx="7">
                  <c:v>FR</c:v>
                </c:pt>
                <c:pt idx="8">
                  <c:v>DE</c:v>
                </c:pt>
                <c:pt idx="9">
                  <c:v>AT</c:v>
                </c:pt>
                <c:pt idx="10">
                  <c:v>BE</c:v>
                </c:pt>
                <c:pt idx="11">
                  <c:v>DK</c:v>
                </c:pt>
                <c:pt idx="12">
                  <c:v>HR</c:v>
                </c:pt>
                <c:pt idx="13">
                  <c:v>NL</c:v>
                </c:pt>
                <c:pt idx="14">
                  <c:v>SE</c:v>
                </c:pt>
                <c:pt idx="15">
                  <c:v>CZ</c:v>
                </c:pt>
                <c:pt idx="16">
                  <c:v>SK</c:v>
                </c:pt>
                <c:pt idx="17">
                  <c:v>LU</c:v>
                </c:pt>
                <c:pt idx="18">
                  <c:v>SI</c:v>
                </c:pt>
                <c:pt idx="19">
                  <c:v>BG</c:v>
                </c:pt>
                <c:pt idx="20">
                  <c:v>CY</c:v>
                </c:pt>
                <c:pt idx="21">
                  <c:v>LV</c:v>
                </c:pt>
                <c:pt idx="22">
                  <c:v>HU</c:v>
                </c:pt>
                <c:pt idx="23">
                  <c:v>EE</c:v>
                </c:pt>
                <c:pt idx="24">
                  <c:v>RO</c:v>
                </c:pt>
                <c:pt idx="25">
                  <c:v>PL</c:v>
                </c:pt>
                <c:pt idx="26">
                  <c:v>LT</c:v>
                </c:pt>
                <c:pt idx="27">
                  <c:v>MT</c:v>
                </c:pt>
                <c:pt idx="28">
                  <c:v>IE</c:v>
                </c:pt>
                <c:pt idx="29">
                  <c:v>NO</c:v>
                </c:pt>
              </c:strCache>
            </c:strRef>
          </c:cat>
          <c:val>
            <c:numRef>
              <c:f>'Cross country comparisons'!$C$80:$C$109</c:f>
              <c:numCache>
                <c:formatCode>0.0</c:formatCode>
                <c:ptCount val="30"/>
                <c:pt idx="0">
                  <c:v>0.31425050132491694</c:v>
                </c:pt>
                <c:pt idx="1">
                  <c:v>0.29637816293625802</c:v>
                </c:pt>
                <c:pt idx="2">
                  <c:v>-0.67118482241791932</c:v>
                </c:pt>
                <c:pt idx="3">
                  <c:v>-4.1045904629970202E-2</c:v>
                </c:pt>
                <c:pt idx="4">
                  <c:v>0.46085635969593336</c:v>
                </c:pt>
                <c:pt idx="5">
                  <c:v>-0.27988595556928136</c:v>
                </c:pt>
                <c:pt idx="6">
                  <c:v>0.37226048987142168</c:v>
                </c:pt>
                <c:pt idx="7">
                  <c:v>0.40869683452161504</c:v>
                </c:pt>
                <c:pt idx="8">
                  <c:v>0.21470866112850831</c:v>
                </c:pt>
                <c:pt idx="9">
                  <c:v>0.45279685357292926</c:v>
                </c:pt>
                <c:pt idx="10">
                  <c:v>0.38791654155133176</c:v>
                </c:pt>
                <c:pt idx="11">
                  <c:v>0.70889077822321711</c:v>
                </c:pt>
                <c:pt idx="12">
                  <c:v>0.64539696368634525</c:v>
                </c:pt>
                <c:pt idx="13">
                  <c:v>0.37599763029050365</c:v>
                </c:pt>
                <c:pt idx="14">
                  <c:v>0.85140228278987451</c:v>
                </c:pt>
                <c:pt idx="15">
                  <c:v>0.81606183873557836</c:v>
                </c:pt>
                <c:pt idx="16">
                  <c:v>0.53839067986938671</c:v>
                </c:pt>
                <c:pt idx="17">
                  <c:v>1.3296629495753254</c:v>
                </c:pt>
                <c:pt idx="18">
                  <c:v>3.3859681657358386E-2</c:v>
                </c:pt>
                <c:pt idx="19">
                  <c:v>-0.24733000852093043</c:v>
                </c:pt>
                <c:pt idx="20">
                  <c:v>0.57772277345730105</c:v>
                </c:pt>
                <c:pt idx="21">
                  <c:v>0.52995091850831921</c:v>
                </c:pt>
                <c:pt idx="22">
                  <c:v>0.55910748993733117</c:v>
                </c:pt>
                <c:pt idx="23">
                  <c:v>1.3665044002499549</c:v>
                </c:pt>
                <c:pt idx="24">
                  <c:v>1.6020707971383628</c:v>
                </c:pt>
                <c:pt idx="25">
                  <c:v>1.45196285035267</c:v>
                </c:pt>
                <c:pt idx="26">
                  <c:v>1.1679055790527244</c:v>
                </c:pt>
                <c:pt idx="27">
                  <c:v>2.0356786437969361</c:v>
                </c:pt>
                <c:pt idx="28">
                  <c:v>3.3717956063173324</c:v>
                </c:pt>
                <c:pt idx="29">
                  <c:v>0.9707791758025921</c:v>
                </c:pt>
              </c:numCache>
            </c:numRef>
          </c:val>
          <c:extLst>
            <c:ext xmlns:c16="http://schemas.microsoft.com/office/drawing/2014/chart" uri="{C3380CC4-5D6E-409C-BE32-E72D297353CC}">
              <c16:uniqueId val="{00000001-35F4-4B9E-B565-CA83AA671C83}"/>
            </c:ext>
          </c:extLst>
        </c:ser>
        <c:ser>
          <c:idx val="2"/>
          <c:order val="2"/>
          <c:tx>
            <c:strRef>
              <c:f>'Cross country comparisons'!$D$79</c:f>
              <c:strCache>
                <c:ptCount val="1"/>
                <c:pt idx="0">
                  <c:v>MFP</c:v>
                </c:pt>
              </c:strCache>
            </c:strRef>
          </c:tx>
          <c:spPr>
            <a:solidFill>
              <a:srgbClr val="D81B22"/>
            </a:solidFill>
            <a:ln>
              <a:noFill/>
            </a:ln>
            <a:effectLst/>
          </c:spPr>
          <c:invertIfNegative val="0"/>
          <c:cat>
            <c:strRef>
              <c:f>'Cross country comparisons'!$A$80:$A$109</c:f>
              <c:strCache>
                <c:ptCount val="30"/>
                <c:pt idx="0">
                  <c:v>EU</c:v>
                </c:pt>
                <c:pt idx="1">
                  <c:v>EA</c:v>
                </c:pt>
                <c:pt idx="2">
                  <c:v>EL</c:v>
                </c:pt>
                <c:pt idx="3">
                  <c:v>IT</c:v>
                </c:pt>
                <c:pt idx="4">
                  <c:v>FI</c:v>
                </c:pt>
                <c:pt idx="5">
                  <c:v>PT</c:v>
                </c:pt>
                <c:pt idx="6">
                  <c:v>ES</c:v>
                </c:pt>
                <c:pt idx="7">
                  <c:v>FR</c:v>
                </c:pt>
                <c:pt idx="8">
                  <c:v>DE</c:v>
                </c:pt>
                <c:pt idx="9">
                  <c:v>AT</c:v>
                </c:pt>
                <c:pt idx="10">
                  <c:v>BE</c:v>
                </c:pt>
                <c:pt idx="11">
                  <c:v>DK</c:v>
                </c:pt>
                <c:pt idx="12">
                  <c:v>HR</c:v>
                </c:pt>
                <c:pt idx="13">
                  <c:v>NL</c:v>
                </c:pt>
                <c:pt idx="14">
                  <c:v>SE</c:v>
                </c:pt>
                <c:pt idx="15">
                  <c:v>CZ</c:v>
                </c:pt>
                <c:pt idx="16">
                  <c:v>SK</c:v>
                </c:pt>
                <c:pt idx="17">
                  <c:v>LU</c:v>
                </c:pt>
                <c:pt idx="18">
                  <c:v>SI</c:v>
                </c:pt>
                <c:pt idx="19">
                  <c:v>BG</c:v>
                </c:pt>
                <c:pt idx="20">
                  <c:v>CY</c:v>
                </c:pt>
                <c:pt idx="21">
                  <c:v>LV</c:v>
                </c:pt>
                <c:pt idx="22">
                  <c:v>HU</c:v>
                </c:pt>
                <c:pt idx="23">
                  <c:v>EE</c:v>
                </c:pt>
                <c:pt idx="24">
                  <c:v>RO</c:v>
                </c:pt>
                <c:pt idx="25">
                  <c:v>PL</c:v>
                </c:pt>
                <c:pt idx="26">
                  <c:v>LT</c:v>
                </c:pt>
                <c:pt idx="27">
                  <c:v>MT</c:v>
                </c:pt>
                <c:pt idx="28">
                  <c:v>IE</c:v>
                </c:pt>
                <c:pt idx="29">
                  <c:v>NO</c:v>
                </c:pt>
              </c:strCache>
            </c:strRef>
          </c:cat>
          <c:val>
            <c:numRef>
              <c:f>'Cross country comparisons'!$D$80:$D$109</c:f>
              <c:numCache>
                <c:formatCode>0.0</c:formatCode>
                <c:ptCount val="30"/>
                <c:pt idx="0">
                  <c:v>0.85366289905739412</c:v>
                </c:pt>
                <c:pt idx="1">
                  <c:v>0.73173976378549233</c:v>
                </c:pt>
                <c:pt idx="2">
                  <c:v>-0.26994342965291646</c:v>
                </c:pt>
                <c:pt idx="3">
                  <c:v>0.58602847183815754</c:v>
                </c:pt>
                <c:pt idx="4">
                  <c:v>-3.7874392481584356E-2</c:v>
                </c:pt>
                <c:pt idx="5">
                  <c:v>1.039844025063642</c:v>
                </c:pt>
                <c:pt idx="6">
                  <c:v>0.42686165704540618</c:v>
                </c:pt>
                <c:pt idx="7">
                  <c:v>0.20962227676368261</c:v>
                </c:pt>
                <c:pt idx="8">
                  <c:v>0.89936288207047477</c:v>
                </c:pt>
                <c:pt idx="9">
                  <c:v>0.75443307649877378</c:v>
                </c:pt>
                <c:pt idx="10">
                  <c:v>0.40187599761030673</c:v>
                </c:pt>
                <c:pt idx="11">
                  <c:v>0.51173168443285832</c:v>
                </c:pt>
                <c:pt idx="12">
                  <c:v>1.1408761506003129</c:v>
                </c:pt>
                <c:pt idx="13">
                  <c:v>0.70118209959798483</c:v>
                </c:pt>
                <c:pt idx="14">
                  <c:v>0.4455697453992909</c:v>
                </c:pt>
                <c:pt idx="15">
                  <c:v>0.95507996216462632</c:v>
                </c:pt>
                <c:pt idx="16">
                  <c:v>1.5420241142033391</c:v>
                </c:pt>
                <c:pt idx="17">
                  <c:v>-0.57176915593662558</c:v>
                </c:pt>
                <c:pt idx="18">
                  <c:v>1.6905008841401223</c:v>
                </c:pt>
                <c:pt idx="19">
                  <c:v>2.774007849200673</c:v>
                </c:pt>
                <c:pt idx="20">
                  <c:v>1.1590156665773426</c:v>
                </c:pt>
                <c:pt idx="21">
                  <c:v>1.8777485175604791</c:v>
                </c:pt>
                <c:pt idx="22">
                  <c:v>1.6935223396352768</c:v>
                </c:pt>
                <c:pt idx="23">
                  <c:v>1.3499971960354287</c:v>
                </c:pt>
                <c:pt idx="24">
                  <c:v>1.7113599709713609</c:v>
                </c:pt>
                <c:pt idx="25">
                  <c:v>1.5526356713461997</c:v>
                </c:pt>
                <c:pt idx="26">
                  <c:v>2.189048445161538</c:v>
                </c:pt>
                <c:pt idx="27">
                  <c:v>2.1753112451799157</c:v>
                </c:pt>
                <c:pt idx="28">
                  <c:v>2.6160172050295327</c:v>
                </c:pt>
                <c:pt idx="29">
                  <c:v>6.7743386378041157E-2</c:v>
                </c:pt>
              </c:numCache>
            </c:numRef>
          </c:val>
          <c:extLst>
            <c:ext xmlns:c16="http://schemas.microsoft.com/office/drawing/2014/chart" uri="{C3380CC4-5D6E-409C-BE32-E72D297353CC}">
              <c16:uniqueId val="{00000002-35F4-4B9E-B565-CA83AA671C83}"/>
            </c:ext>
          </c:extLst>
        </c:ser>
        <c:dLbls>
          <c:showLegendKey val="0"/>
          <c:showVal val="0"/>
          <c:showCatName val="0"/>
          <c:showSerName val="0"/>
          <c:showPercent val="0"/>
          <c:showBubbleSize val="0"/>
        </c:dLbls>
        <c:gapWidth val="150"/>
        <c:overlap val="100"/>
        <c:axId val="636619096"/>
        <c:axId val="636619424"/>
      </c:barChart>
      <c:lineChart>
        <c:grouping val="standard"/>
        <c:varyColors val="0"/>
        <c:ser>
          <c:idx val="3"/>
          <c:order val="3"/>
          <c:tx>
            <c:strRef>
              <c:f>'Cross country comparisons'!$E$79</c:f>
              <c:strCache>
                <c:ptCount val="1"/>
                <c:pt idx="0">
                  <c:v>GVA growth</c:v>
                </c:pt>
              </c:strCache>
            </c:strRef>
          </c:tx>
          <c:spPr>
            <a:ln w="25400" cap="rnd">
              <a:noFill/>
              <a:round/>
            </a:ln>
            <a:effectLst/>
          </c:spPr>
          <c:marker>
            <c:symbol val="circle"/>
            <c:size val="5"/>
            <c:spPr>
              <a:solidFill>
                <a:schemeClr val="tx1"/>
              </a:solidFill>
              <a:ln w="9525">
                <a:solidFill>
                  <a:schemeClr val="accent4"/>
                </a:solidFill>
              </a:ln>
              <a:effectLst/>
            </c:spPr>
          </c:marker>
          <c:cat>
            <c:strRef>
              <c:f>'Cross country comparisons'!$A$80:$A$109</c:f>
              <c:strCache>
                <c:ptCount val="30"/>
                <c:pt idx="0">
                  <c:v>EU</c:v>
                </c:pt>
                <c:pt idx="1">
                  <c:v>EA</c:v>
                </c:pt>
                <c:pt idx="2">
                  <c:v>EL</c:v>
                </c:pt>
                <c:pt idx="3">
                  <c:v>IT</c:v>
                </c:pt>
                <c:pt idx="4">
                  <c:v>FI</c:v>
                </c:pt>
                <c:pt idx="5">
                  <c:v>PT</c:v>
                </c:pt>
                <c:pt idx="6">
                  <c:v>ES</c:v>
                </c:pt>
                <c:pt idx="7">
                  <c:v>FR</c:v>
                </c:pt>
                <c:pt idx="8">
                  <c:v>DE</c:v>
                </c:pt>
                <c:pt idx="9">
                  <c:v>AT</c:v>
                </c:pt>
                <c:pt idx="10">
                  <c:v>BE</c:v>
                </c:pt>
                <c:pt idx="11">
                  <c:v>DK</c:v>
                </c:pt>
                <c:pt idx="12">
                  <c:v>HR</c:v>
                </c:pt>
                <c:pt idx="13">
                  <c:v>NL</c:v>
                </c:pt>
                <c:pt idx="14">
                  <c:v>SE</c:v>
                </c:pt>
                <c:pt idx="15">
                  <c:v>CZ</c:v>
                </c:pt>
                <c:pt idx="16">
                  <c:v>SK</c:v>
                </c:pt>
                <c:pt idx="17">
                  <c:v>LU</c:v>
                </c:pt>
                <c:pt idx="18">
                  <c:v>SI</c:v>
                </c:pt>
                <c:pt idx="19">
                  <c:v>BG</c:v>
                </c:pt>
                <c:pt idx="20">
                  <c:v>CY</c:v>
                </c:pt>
                <c:pt idx="21">
                  <c:v>LV</c:v>
                </c:pt>
                <c:pt idx="22">
                  <c:v>HU</c:v>
                </c:pt>
                <c:pt idx="23">
                  <c:v>EE</c:v>
                </c:pt>
                <c:pt idx="24">
                  <c:v>RO</c:v>
                </c:pt>
                <c:pt idx="25">
                  <c:v>PL</c:v>
                </c:pt>
                <c:pt idx="26">
                  <c:v>LT</c:v>
                </c:pt>
                <c:pt idx="27">
                  <c:v>MT</c:v>
                </c:pt>
                <c:pt idx="28">
                  <c:v>IE</c:v>
                </c:pt>
                <c:pt idx="29">
                  <c:v>NO</c:v>
                </c:pt>
              </c:strCache>
            </c:strRef>
          </c:cat>
          <c:val>
            <c:numRef>
              <c:f>'Cross country comparisons'!$E$80:$E$109</c:f>
              <c:numCache>
                <c:formatCode>0.0</c:formatCode>
                <c:ptCount val="30"/>
                <c:pt idx="0">
                  <c:v>1.4950096935285966</c:v>
                </c:pt>
                <c:pt idx="1">
                  <c:v>1.3328531438440667</c:v>
                </c:pt>
                <c:pt idx="2">
                  <c:v>-0.79557424718890901</c:v>
                </c:pt>
                <c:pt idx="3">
                  <c:v>0.57253134023991237</c:v>
                </c:pt>
                <c:pt idx="4">
                  <c:v>0.67298208739656751</c:v>
                </c:pt>
                <c:pt idx="5">
                  <c:v>0.9100878705233425</c:v>
                </c:pt>
                <c:pt idx="6">
                  <c:v>0.94509341952696191</c:v>
                </c:pt>
                <c:pt idx="7">
                  <c:v>1.1439920935843044</c:v>
                </c:pt>
                <c:pt idx="8">
                  <c:v>1.3626842138422763</c:v>
                </c:pt>
                <c:pt idx="9">
                  <c:v>1.5031866034117176</c:v>
                </c:pt>
                <c:pt idx="10">
                  <c:v>1.5435765644629562</c:v>
                </c:pt>
                <c:pt idx="11">
                  <c:v>1.7320905410591318</c:v>
                </c:pt>
                <c:pt idx="12">
                  <c:v>1.7790948142748508</c:v>
                </c:pt>
                <c:pt idx="13">
                  <c:v>1.8902969081859251</c:v>
                </c:pt>
                <c:pt idx="14">
                  <c:v>1.9564946678514457</c:v>
                </c:pt>
                <c:pt idx="15">
                  <c:v>1.9631336495057994</c:v>
                </c:pt>
                <c:pt idx="16">
                  <c:v>2.0460182430298346</c:v>
                </c:pt>
                <c:pt idx="17">
                  <c:v>2.1526914829506971</c:v>
                </c:pt>
                <c:pt idx="18">
                  <c:v>2.1828789125511929</c:v>
                </c:pt>
                <c:pt idx="19">
                  <c:v>2.2257058334710589</c:v>
                </c:pt>
                <c:pt idx="20">
                  <c:v>2.5102099105036877</c:v>
                </c:pt>
                <c:pt idx="21">
                  <c:v>2.5521453838674546</c:v>
                </c:pt>
                <c:pt idx="22">
                  <c:v>2.9524510412982727</c:v>
                </c:pt>
                <c:pt idx="23">
                  <c:v>3.1263072295553731</c:v>
                </c:pt>
                <c:pt idx="24">
                  <c:v>3.166355462969106</c:v>
                </c:pt>
                <c:pt idx="25">
                  <c:v>3.5882147133912876</c:v>
                </c:pt>
                <c:pt idx="26">
                  <c:v>3.844737780984723</c:v>
                </c:pt>
                <c:pt idx="27">
                  <c:v>6.1985060172709732</c:v>
                </c:pt>
                <c:pt idx="28">
                  <c:v>6.9878921627644672</c:v>
                </c:pt>
                <c:pt idx="29">
                  <c:v>1.6339080537078665</c:v>
                </c:pt>
              </c:numCache>
            </c:numRef>
          </c:val>
          <c:smooth val="0"/>
          <c:extLst>
            <c:ext xmlns:c16="http://schemas.microsoft.com/office/drawing/2014/chart" uri="{C3380CC4-5D6E-409C-BE32-E72D297353CC}">
              <c16:uniqueId val="{00000003-35F4-4B9E-B565-CA83AA671C83}"/>
            </c:ext>
          </c:extLst>
        </c:ser>
        <c:dLbls>
          <c:showLegendKey val="0"/>
          <c:showVal val="0"/>
          <c:showCatName val="0"/>
          <c:showSerName val="0"/>
          <c:showPercent val="0"/>
          <c:showBubbleSize val="0"/>
        </c:dLbls>
        <c:marker val="1"/>
        <c:smooth val="0"/>
        <c:axId val="636619096"/>
        <c:axId val="636619424"/>
      </c:lineChart>
      <c:catAx>
        <c:axId val="636619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a:t>
                </a:r>
              </a:p>
            </c:rich>
          </c:tx>
          <c:layout>
            <c:manualLayout>
              <c:xMode val="edge"/>
              <c:yMode val="edge"/>
              <c:x val="3.941941889448769E-2"/>
              <c:y val="0.109279097545529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19424"/>
        <c:crosses val="autoZero"/>
        <c:auto val="1"/>
        <c:lblAlgn val="ctr"/>
        <c:lblOffset val="100"/>
        <c:noMultiLvlLbl val="0"/>
      </c:catAx>
      <c:valAx>
        <c:axId val="6366194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19096"/>
        <c:crosses val="autoZero"/>
        <c:crossBetween val="between"/>
      </c:valAx>
      <c:spPr>
        <a:noFill/>
        <a:ln>
          <a:noFill/>
        </a:ln>
        <a:effectLst/>
      </c:spPr>
    </c:plotArea>
    <c:legend>
      <c:legendPos val="b"/>
      <c:layout>
        <c:manualLayout>
          <c:xMode val="edge"/>
          <c:yMode val="edge"/>
          <c:x val="0.19814008338371628"/>
          <c:y val="0.21279592357601876"/>
          <c:w val="0.58772325927045543"/>
          <c:h val="8.008531911148844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Contributions to  GVA growth</a:t>
            </a:r>
          </a:p>
          <a:p>
            <a:pPr>
              <a:defRPr/>
            </a:pPr>
            <a:r>
              <a:rPr lang="en-US" sz="1400" b="0" i="0" u="none" strike="noStrike" kern="1200" spc="0" baseline="0">
                <a:solidFill>
                  <a:sysClr val="windowText" lastClr="000000">
                    <a:lumMod val="65000"/>
                    <a:lumOff val="35000"/>
                  </a:sysClr>
                </a:solidFill>
                <a:latin typeface="Aptos" panose="020B0004020202020204" pitchFamily="34" charset="0"/>
              </a:rPr>
              <a:t>Annual average growth rate and contributions (2002-2010)</a:t>
            </a:r>
          </a:p>
          <a:p>
            <a:pPr>
              <a:defRPr/>
            </a:pPr>
            <a:endParaRPr lang="en-US"/>
          </a:p>
        </c:rich>
      </c:tx>
      <c:layout>
        <c:manualLayout>
          <c:xMode val="edge"/>
          <c:yMode val="edge"/>
          <c:x val="0.34648693130264635"/>
          <c:y val="2.8985855696616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952644612697905E-2"/>
          <c:y val="0.23283863898068569"/>
          <c:w val="0.91258173858637637"/>
          <c:h val="0.69317393502098601"/>
        </c:manualLayout>
      </c:layout>
      <c:barChart>
        <c:barDir val="col"/>
        <c:grouping val="stacked"/>
        <c:varyColors val="0"/>
        <c:ser>
          <c:idx val="0"/>
          <c:order val="0"/>
          <c:tx>
            <c:strRef>
              <c:f>'Cross country comparisons'!$B$45</c:f>
              <c:strCache>
                <c:ptCount val="1"/>
                <c:pt idx="0">
                  <c:v>Hours Worked</c:v>
                </c:pt>
              </c:strCache>
            </c:strRef>
          </c:tx>
          <c:spPr>
            <a:solidFill>
              <a:srgbClr val="FFC107"/>
            </a:solidFill>
            <a:ln>
              <a:noFill/>
            </a:ln>
            <a:effectLst/>
          </c:spPr>
          <c:invertIfNegative val="0"/>
          <c:cat>
            <c:strRef>
              <c:f>'Cross country comparisons'!$A$46:$A$75</c:f>
              <c:strCache>
                <c:ptCount val="30"/>
                <c:pt idx="0">
                  <c:v>EU</c:v>
                </c:pt>
                <c:pt idx="1">
                  <c:v>EA</c:v>
                </c:pt>
                <c:pt idx="2">
                  <c:v>IT</c:v>
                </c:pt>
                <c:pt idx="3">
                  <c:v>DK</c:v>
                </c:pt>
                <c:pt idx="4">
                  <c:v>PT</c:v>
                </c:pt>
                <c:pt idx="5">
                  <c:v>DE</c:v>
                </c:pt>
                <c:pt idx="6">
                  <c:v>FR</c:v>
                </c:pt>
                <c:pt idx="7">
                  <c:v>NL</c:v>
                </c:pt>
                <c:pt idx="8">
                  <c:v>FI</c:v>
                </c:pt>
                <c:pt idx="9">
                  <c:v>AT</c:v>
                </c:pt>
                <c:pt idx="10">
                  <c:v>BE</c:v>
                </c:pt>
                <c:pt idx="11">
                  <c:v>EL</c:v>
                </c:pt>
                <c:pt idx="12">
                  <c:v>HU</c:v>
                </c:pt>
                <c:pt idx="13">
                  <c:v>ES</c:v>
                </c:pt>
                <c:pt idx="14">
                  <c:v>SE</c:v>
                </c:pt>
                <c:pt idx="15">
                  <c:v>HR</c:v>
                </c:pt>
                <c:pt idx="16">
                  <c:v>IE</c:v>
                </c:pt>
                <c:pt idx="17">
                  <c:v>SI</c:v>
                </c:pt>
                <c:pt idx="18">
                  <c:v>LU</c:v>
                </c:pt>
                <c:pt idx="19">
                  <c:v>MT</c:v>
                </c:pt>
                <c:pt idx="20">
                  <c:v>CZ</c:v>
                </c:pt>
                <c:pt idx="21">
                  <c:v>EE</c:v>
                </c:pt>
                <c:pt idx="22">
                  <c:v>CY</c:v>
                </c:pt>
                <c:pt idx="23">
                  <c:v>LT</c:v>
                </c:pt>
                <c:pt idx="24">
                  <c:v>LV</c:v>
                </c:pt>
                <c:pt idx="25">
                  <c:v>RO</c:v>
                </c:pt>
                <c:pt idx="26">
                  <c:v>PL</c:v>
                </c:pt>
                <c:pt idx="27">
                  <c:v>BG</c:v>
                </c:pt>
                <c:pt idx="28">
                  <c:v>SK</c:v>
                </c:pt>
                <c:pt idx="29">
                  <c:v>NO</c:v>
                </c:pt>
              </c:strCache>
            </c:strRef>
          </c:cat>
          <c:val>
            <c:numRef>
              <c:f>'Cross country comparisons'!$B$46:$B$75</c:f>
              <c:numCache>
                <c:formatCode>0.0</c:formatCode>
                <c:ptCount val="30"/>
                <c:pt idx="0">
                  <c:v>0.1011472174780475</c:v>
                </c:pt>
                <c:pt idx="1">
                  <c:v>0.18783427077842688</c:v>
                </c:pt>
                <c:pt idx="2">
                  <c:v>9.0508826436537626E-2</c:v>
                </c:pt>
                <c:pt idx="3">
                  <c:v>-0.23050365806737971</c:v>
                </c:pt>
                <c:pt idx="4">
                  <c:v>-0.42235115290727676</c:v>
                </c:pt>
                <c:pt idx="5">
                  <c:v>4.8538095880335169E-2</c:v>
                </c:pt>
                <c:pt idx="6">
                  <c:v>0.2753896968480688</c:v>
                </c:pt>
                <c:pt idx="7">
                  <c:v>0.16394121471352868</c:v>
                </c:pt>
                <c:pt idx="8">
                  <c:v>0.22255664191084476</c:v>
                </c:pt>
                <c:pt idx="9">
                  <c:v>7.0081676494755538E-2</c:v>
                </c:pt>
                <c:pt idx="10">
                  <c:v>0.60477950591118113</c:v>
                </c:pt>
                <c:pt idx="11">
                  <c:v>0.21271341319820047</c:v>
                </c:pt>
                <c:pt idx="12">
                  <c:v>-0.78156131867856793</c:v>
                </c:pt>
                <c:pt idx="13">
                  <c:v>0.64700705011774573</c:v>
                </c:pt>
                <c:pt idx="14">
                  <c:v>0.21742172147499825</c:v>
                </c:pt>
                <c:pt idx="15">
                  <c:v>0.75794367390645911</c:v>
                </c:pt>
                <c:pt idx="16">
                  <c:v>-0.44322987908923928</c:v>
                </c:pt>
                <c:pt idx="17">
                  <c:v>0.28408587505403093</c:v>
                </c:pt>
                <c:pt idx="18">
                  <c:v>1.296583191669197</c:v>
                </c:pt>
                <c:pt idx="19">
                  <c:v>0.37662596094868256</c:v>
                </c:pt>
                <c:pt idx="20">
                  <c:v>0.17796589111929551</c:v>
                </c:pt>
                <c:pt idx="21">
                  <c:v>-0.91018035516969931</c:v>
                </c:pt>
                <c:pt idx="22">
                  <c:v>1.3132431240195415</c:v>
                </c:pt>
                <c:pt idx="23">
                  <c:v>-0.28788922832695346</c:v>
                </c:pt>
                <c:pt idx="24">
                  <c:v>-1.4621489475979601</c:v>
                </c:pt>
                <c:pt idx="25">
                  <c:v>-1.4860654282629193</c:v>
                </c:pt>
                <c:pt idx="26">
                  <c:v>0.3636078472653318</c:v>
                </c:pt>
                <c:pt idx="27">
                  <c:v>0.62701973821469414</c:v>
                </c:pt>
                <c:pt idx="28">
                  <c:v>0.34446655314437397</c:v>
                </c:pt>
                <c:pt idx="29">
                  <c:v>0.55042752747067947</c:v>
                </c:pt>
              </c:numCache>
            </c:numRef>
          </c:val>
          <c:extLst>
            <c:ext xmlns:c16="http://schemas.microsoft.com/office/drawing/2014/chart" uri="{C3380CC4-5D6E-409C-BE32-E72D297353CC}">
              <c16:uniqueId val="{00000000-12EB-4DBA-A4C5-7A4338F158DF}"/>
            </c:ext>
          </c:extLst>
        </c:ser>
        <c:ser>
          <c:idx val="1"/>
          <c:order val="1"/>
          <c:tx>
            <c:strRef>
              <c:f>'Cross country comparisons'!$C$45</c:f>
              <c:strCache>
                <c:ptCount val="1"/>
                <c:pt idx="0">
                  <c:v>Capital Stock (net)</c:v>
                </c:pt>
              </c:strCache>
            </c:strRef>
          </c:tx>
          <c:spPr>
            <a:solidFill>
              <a:srgbClr val="1E88E5"/>
            </a:solidFill>
            <a:ln>
              <a:noFill/>
            </a:ln>
            <a:effectLst/>
          </c:spPr>
          <c:invertIfNegative val="0"/>
          <c:cat>
            <c:strRef>
              <c:f>'Cross country comparisons'!$A$46:$A$75</c:f>
              <c:strCache>
                <c:ptCount val="30"/>
                <c:pt idx="0">
                  <c:v>EU</c:v>
                </c:pt>
                <c:pt idx="1">
                  <c:v>EA</c:v>
                </c:pt>
                <c:pt idx="2">
                  <c:v>IT</c:v>
                </c:pt>
                <c:pt idx="3">
                  <c:v>DK</c:v>
                </c:pt>
                <c:pt idx="4">
                  <c:v>PT</c:v>
                </c:pt>
                <c:pt idx="5">
                  <c:v>DE</c:v>
                </c:pt>
                <c:pt idx="6">
                  <c:v>FR</c:v>
                </c:pt>
                <c:pt idx="7">
                  <c:v>NL</c:v>
                </c:pt>
                <c:pt idx="8">
                  <c:v>FI</c:v>
                </c:pt>
                <c:pt idx="9">
                  <c:v>AT</c:v>
                </c:pt>
                <c:pt idx="10">
                  <c:v>BE</c:v>
                </c:pt>
                <c:pt idx="11">
                  <c:v>EL</c:v>
                </c:pt>
                <c:pt idx="12">
                  <c:v>HU</c:v>
                </c:pt>
                <c:pt idx="13">
                  <c:v>ES</c:v>
                </c:pt>
                <c:pt idx="14">
                  <c:v>SE</c:v>
                </c:pt>
                <c:pt idx="15">
                  <c:v>HR</c:v>
                </c:pt>
                <c:pt idx="16">
                  <c:v>IE</c:v>
                </c:pt>
                <c:pt idx="17">
                  <c:v>SI</c:v>
                </c:pt>
                <c:pt idx="18">
                  <c:v>LU</c:v>
                </c:pt>
                <c:pt idx="19">
                  <c:v>MT</c:v>
                </c:pt>
                <c:pt idx="20">
                  <c:v>CZ</c:v>
                </c:pt>
                <c:pt idx="21">
                  <c:v>EE</c:v>
                </c:pt>
                <c:pt idx="22">
                  <c:v>CY</c:v>
                </c:pt>
                <c:pt idx="23">
                  <c:v>LT</c:v>
                </c:pt>
                <c:pt idx="24">
                  <c:v>LV</c:v>
                </c:pt>
                <c:pt idx="25">
                  <c:v>RO</c:v>
                </c:pt>
                <c:pt idx="26">
                  <c:v>PL</c:v>
                </c:pt>
                <c:pt idx="27">
                  <c:v>BG</c:v>
                </c:pt>
                <c:pt idx="28">
                  <c:v>SK</c:v>
                </c:pt>
                <c:pt idx="29">
                  <c:v>NO</c:v>
                </c:pt>
              </c:strCache>
            </c:strRef>
          </c:cat>
          <c:val>
            <c:numRef>
              <c:f>'Cross country comparisons'!$C$46:$C$75</c:f>
              <c:numCache>
                <c:formatCode>0.0</c:formatCode>
                <c:ptCount val="30"/>
                <c:pt idx="0">
                  <c:v>0.61062432295482805</c:v>
                </c:pt>
                <c:pt idx="1">
                  <c:v>0.62677438789080808</c:v>
                </c:pt>
                <c:pt idx="2">
                  <c:v>0.58701668662587858</c:v>
                </c:pt>
                <c:pt idx="3">
                  <c:v>0.42857470624149807</c:v>
                </c:pt>
                <c:pt idx="4">
                  <c:v>0.53955500003399215</c:v>
                </c:pt>
                <c:pt idx="5">
                  <c:v>0.23324861884155468</c:v>
                </c:pt>
                <c:pt idx="6">
                  <c:v>0.61248791339797071</c:v>
                </c:pt>
                <c:pt idx="7">
                  <c:v>0.52866618391101339</c:v>
                </c:pt>
                <c:pt idx="8">
                  <c:v>0.61657279774642226</c:v>
                </c:pt>
                <c:pt idx="9">
                  <c:v>0.55974285761390374</c:v>
                </c:pt>
                <c:pt idx="10">
                  <c:v>0.43684706742883583</c:v>
                </c:pt>
                <c:pt idx="11">
                  <c:v>1.1205554118876269</c:v>
                </c:pt>
                <c:pt idx="12">
                  <c:v>0.59804889577399878</c:v>
                </c:pt>
                <c:pt idx="13">
                  <c:v>1.3470297201853745</c:v>
                </c:pt>
                <c:pt idx="14">
                  <c:v>0.94210109010988852</c:v>
                </c:pt>
                <c:pt idx="15">
                  <c:v>1.5592945693066973</c:v>
                </c:pt>
                <c:pt idx="16">
                  <c:v>2.5344751094646401</c:v>
                </c:pt>
                <c:pt idx="17">
                  <c:v>0.73508049074162796</c:v>
                </c:pt>
                <c:pt idx="18">
                  <c:v>1.6098114468009224</c:v>
                </c:pt>
                <c:pt idx="19">
                  <c:v>0.93933002001574528</c:v>
                </c:pt>
                <c:pt idx="20">
                  <c:v>1.0358562476608673</c:v>
                </c:pt>
                <c:pt idx="21">
                  <c:v>2.4068864139467947</c:v>
                </c:pt>
                <c:pt idx="22">
                  <c:v>1.3289569078219603</c:v>
                </c:pt>
                <c:pt idx="23">
                  <c:v>1.4468820232633794</c:v>
                </c:pt>
                <c:pt idx="24">
                  <c:v>2.0293475806145507</c:v>
                </c:pt>
                <c:pt idx="25">
                  <c:v>-0.17658966811925084</c:v>
                </c:pt>
                <c:pt idx="26">
                  <c:v>1.2426527720335516</c:v>
                </c:pt>
                <c:pt idx="27">
                  <c:v>1.3711884927073354</c:v>
                </c:pt>
                <c:pt idx="28">
                  <c:v>1.5641201558513338</c:v>
                </c:pt>
                <c:pt idx="29">
                  <c:v>1.1734035430631822</c:v>
                </c:pt>
              </c:numCache>
            </c:numRef>
          </c:val>
          <c:extLst>
            <c:ext xmlns:c16="http://schemas.microsoft.com/office/drawing/2014/chart" uri="{C3380CC4-5D6E-409C-BE32-E72D297353CC}">
              <c16:uniqueId val="{00000001-12EB-4DBA-A4C5-7A4338F158DF}"/>
            </c:ext>
          </c:extLst>
        </c:ser>
        <c:ser>
          <c:idx val="2"/>
          <c:order val="2"/>
          <c:tx>
            <c:strRef>
              <c:f>'Cross country comparisons'!$D$45</c:f>
              <c:strCache>
                <c:ptCount val="1"/>
                <c:pt idx="0">
                  <c:v> MFP</c:v>
                </c:pt>
              </c:strCache>
            </c:strRef>
          </c:tx>
          <c:spPr>
            <a:solidFill>
              <a:srgbClr val="D81B22"/>
            </a:solidFill>
            <a:ln>
              <a:noFill/>
            </a:ln>
            <a:effectLst/>
          </c:spPr>
          <c:invertIfNegative val="0"/>
          <c:cat>
            <c:strRef>
              <c:f>'Cross country comparisons'!$A$46:$A$75</c:f>
              <c:strCache>
                <c:ptCount val="30"/>
                <c:pt idx="0">
                  <c:v>EU</c:v>
                </c:pt>
                <c:pt idx="1">
                  <c:v>EA</c:v>
                </c:pt>
                <c:pt idx="2">
                  <c:v>IT</c:v>
                </c:pt>
                <c:pt idx="3">
                  <c:v>DK</c:v>
                </c:pt>
                <c:pt idx="4">
                  <c:v>PT</c:v>
                </c:pt>
                <c:pt idx="5">
                  <c:v>DE</c:v>
                </c:pt>
                <c:pt idx="6">
                  <c:v>FR</c:v>
                </c:pt>
                <c:pt idx="7">
                  <c:v>NL</c:v>
                </c:pt>
                <c:pt idx="8">
                  <c:v>FI</c:v>
                </c:pt>
                <c:pt idx="9">
                  <c:v>AT</c:v>
                </c:pt>
                <c:pt idx="10">
                  <c:v>BE</c:v>
                </c:pt>
                <c:pt idx="11">
                  <c:v>EL</c:v>
                </c:pt>
                <c:pt idx="12">
                  <c:v>HU</c:v>
                </c:pt>
                <c:pt idx="13">
                  <c:v>ES</c:v>
                </c:pt>
                <c:pt idx="14">
                  <c:v>SE</c:v>
                </c:pt>
                <c:pt idx="15">
                  <c:v>HR</c:v>
                </c:pt>
                <c:pt idx="16">
                  <c:v>IE</c:v>
                </c:pt>
                <c:pt idx="17">
                  <c:v>SI</c:v>
                </c:pt>
                <c:pt idx="18">
                  <c:v>LU</c:v>
                </c:pt>
                <c:pt idx="19">
                  <c:v>MT</c:v>
                </c:pt>
                <c:pt idx="20">
                  <c:v>CZ</c:v>
                </c:pt>
                <c:pt idx="21">
                  <c:v>EE</c:v>
                </c:pt>
                <c:pt idx="22">
                  <c:v>CY</c:v>
                </c:pt>
                <c:pt idx="23">
                  <c:v>LT</c:v>
                </c:pt>
                <c:pt idx="24">
                  <c:v>LV</c:v>
                </c:pt>
                <c:pt idx="25">
                  <c:v>RO</c:v>
                </c:pt>
                <c:pt idx="26">
                  <c:v>PL</c:v>
                </c:pt>
                <c:pt idx="27">
                  <c:v>BG</c:v>
                </c:pt>
                <c:pt idx="28">
                  <c:v>SK</c:v>
                </c:pt>
                <c:pt idx="29">
                  <c:v>NO</c:v>
                </c:pt>
              </c:strCache>
            </c:strRef>
          </c:cat>
          <c:val>
            <c:numRef>
              <c:f>'Cross country comparisons'!$D$46:$D$75</c:f>
              <c:numCache>
                <c:formatCode>0.0</c:formatCode>
                <c:ptCount val="30"/>
                <c:pt idx="0">
                  <c:v>0.60211303500555446</c:v>
                </c:pt>
                <c:pt idx="1">
                  <c:v>0.34196159884114724</c:v>
                </c:pt>
                <c:pt idx="2">
                  <c:v>-0.49820325447387759</c:v>
                </c:pt>
                <c:pt idx="3">
                  <c:v>0.44213142364031571</c:v>
                </c:pt>
                <c:pt idx="4">
                  <c:v>0.53812583216060439</c:v>
                </c:pt>
                <c:pt idx="5">
                  <c:v>0.62669611546055082</c:v>
                </c:pt>
                <c:pt idx="6">
                  <c:v>0.41573579549349116</c:v>
                </c:pt>
                <c:pt idx="7">
                  <c:v>0.66540536522955507</c:v>
                </c:pt>
                <c:pt idx="8">
                  <c:v>0.65546400315911002</c:v>
                </c:pt>
                <c:pt idx="9">
                  <c:v>0.98572549583442004</c:v>
                </c:pt>
                <c:pt idx="10">
                  <c:v>0.73235488569981511</c:v>
                </c:pt>
                <c:pt idx="11">
                  <c:v>0.51344509982131947</c:v>
                </c:pt>
                <c:pt idx="12">
                  <c:v>2.0527725865883335</c:v>
                </c:pt>
                <c:pt idx="13">
                  <c:v>-0.11356103433110117</c:v>
                </c:pt>
                <c:pt idx="14">
                  <c:v>0.96913603459184605</c:v>
                </c:pt>
                <c:pt idx="15">
                  <c:v>0.22795973035138795</c:v>
                </c:pt>
                <c:pt idx="16">
                  <c:v>0.47844536250139835</c:v>
                </c:pt>
                <c:pt idx="17">
                  <c:v>1.7358749779990539</c:v>
                </c:pt>
                <c:pt idx="18">
                  <c:v>-7.6339581009369287E-2</c:v>
                </c:pt>
                <c:pt idx="19">
                  <c:v>1.6531201698064211</c:v>
                </c:pt>
                <c:pt idx="20">
                  <c:v>1.9642999199886841</c:v>
                </c:pt>
                <c:pt idx="21">
                  <c:v>1.6822030394329361</c:v>
                </c:pt>
                <c:pt idx="22">
                  <c:v>0.61400274290219536</c:v>
                </c:pt>
                <c:pt idx="23">
                  <c:v>2.7135641742735506</c:v>
                </c:pt>
                <c:pt idx="24">
                  <c:v>3.3214394234602875</c:v>
                </c:pt>
                <c:pt idx="25">
                  <c:v>5.5906845386782527</c:v>
                </c:pt>
                <c:pt idx="26">
                  <c:v>2.3930137892732994</c:v>
                </c:pt>
                <c:pt idx="27">
                  <c:v>2.7326096863342944</c:v>
                </c:pt>
                <c:pt idx="28">
                  <c:v>3.2059936424183277</c:v>
                </c:pt>
                <c:pt idx="29">
                  <c:v>-0.43731666345636749</c:v>
                </c:pt>
              </c:numCache>
            </c:numRef>
          </c:val>
          <c:extLst>
            <c:ext xmlns:c16="http://schemas.microsoft.com/office/drawing/2014/chart" uri="{C3380CC4-5D6E-409C-BE32-E72D297353CC}">
              <c16:uniqueId val="{00000002-12EB-4DBA-A4C5-7A4338F158DF}"/>
            </c:ext>
          </c:extLst>
        </c:ser>
        <c:dLbls>
          <c:showLegendKey val="0"/>
          <c:showVal val="0"/>
          <c:showCatName val="0"/>
          <c:showSerName val="0"/>
          <c:showPercent val="0"/>
          <c:showBubbleSize val="0"/>
        </c:dLbls>
        <c:gapWidth val="150"/>
        <c:overlap val="100"/>
        <c:axId val="606642928"/>
        <c:axId val="606643256"/>
      </c:barChart>
      <c:lineChart>
        <c:grouping val="standard"/>
        <c:varyColors val="0"/>
        <c:ser>
          <c:idx val="3"/>
          <c:order val="3"/>
          <c:tx>
            <c:strRef>
              <c:f>'Cross country comparisons'!$E$45</c:f>
              <c:strCache>
                <c:ptCount val="1"/>
                <c:pt idx="0">
                  <c:v>GVA growth</c:v>
                </c:pt>
              </c:strCache>
            </c:strRef>
          </c:tx>
          <c:spPr>
            <a:ln w="28575" cap="rnd">
              <a:noFill/>
              <a:round/>
            </a:ln>
            <a:effectLst/>
          </c:spPr>
          <c:marker>
            <c:symbol val="circle"/>
            <c:size val="5"/>
            <c:spPr>
              <a:solidFill>
                <a:schemeClr val="tx1"/>
              </a:solidFill>
              <a:ln w="9525">
                <a:noFill/>
              </a:ln>
              <a:effectLst/>
            </c:spPr>
          </c:marker>
          <c:cat>
            <c:strRef>
              <c:f>'Cross country comparisons'!$A$46:$A$75</c:f>
              <c:strCache>
                <c:ptCount val="30"/>
                <c:pt idx="0">
                  <c:v>EU</c:v>
                </c:pt>
                <c:pt idx="1">
                  <c:v>EA</c:v>
                </c:pt>
                <c:pt idx="2">
                  <c:v>IT</c:v>
                </c:pt>
                <c:pt idx="3">
                  <c:v>DK</c:v>
                </c:pt>
                <c:pt idx="4">
                  <c:v>PT</c:v>
                </c:pt>
                <c:pt idx="5">
                  <c:v>DE</c:v>
                </c:pt>
                <c:pt idx="6">
                  <c:v>FR</c:v>
                </c:pt>
                <c:pt idx="7">
                  <c:v>NL</c:v>
                </c:pt>
                <c:pt idx="8">
                  <c:v>FI</c:v>
                </c:pt>
                <c:pt idx="9">
                  <c:v>AT</c:v>
                </c:pt>
                <c:pt idx="10">
                  <c:v>BE</c:v>
                </c:pt>
                <c:pt idx="11">
                  <c:v>EL</c:v>
                </c:pt>
                <c:pt idx="12">
                  <c:v>HU</c:v>
                </c:pt>
                <c:pt idx="13">
                  <c:v>ES</c:v>
                </c:pt>
                <c:pt idx="14">
                  <c:v>SE</c:v>
                </c:pt>
                <c:pt idx="15">
                  <c:v>HR</c:v>
                </c:pt>
                <c:pt idx="16">
                  <c:v>IE</c:v>
                </c:pt>
                <c:pt idx="17">
                  <c:v>SI</c:v>
                </c:pt>
                <c:pt idx="18">
                  <c:v>LU</c:v>
                </c:pt>
                <c:pt idx="19">
                  <c:v>MT</c:v>
                </c:pt>
                <c:pt idx="20">
                  <c:v>CZ</c:v>
                </c:pt>
                <c:pt idx="21">
                  <c:v>EE</c:v>
                </c:pt>
                <c:pt idx="22">
                  <c:v>CY</c:v>
                </c:pt>
                <c:pt idx="23">
                  <c:v>LT</c:v>
                </c:pt>
                <c:pt idx="24">
                  <c:v>LV</c:v>
                </c:pt>
                <c:pt idx="25">
                  <c:v>RO</c:v>
                </c:pt>
                <c:pt idx="26">
                  <c:v>PL</c:v>
                </c:pt>
                <c:pt idx="27">
                  <c:v>BG</c:v>
                </c:pt>
                <c:pt idx="28">
                  <c:v>SK</c:v>
                </c:pt>
                <c:pt idx="29">
                  <c:v>NO</c:v>
                </c:pt>
              </c:strCache>
            </c:strRef>
          </c:cat>
          <c:val>
            <c:numRef>
              <c:f>'Cross country comparisons'!$E$46:$E$75</c:f>
              <c:numCache>
                <c:formatCode>0.0</c:formatCode>
                <c:ptCount val="30"/>
                <c:pt idx="0">
                  <c:v>1.3138845754384301</c:v>
                </c:pt>
                <c:pt idx="1">
                  <c:v>1.1565702575103822</c:v>
                </c:pt>
                <c:pt idx="2">
                  <c:v>0.17932225858853851</c:v>
                </c:pt>
                <c:pt idx="3">
                  <c:v>0.64020247181443402</c:v>
                </c:pt>
                <c:pt idx="4">
                  <c:v>0.65532967928731978</c:v>
                </c:pt>
                <c:pt idx="5">
                  <c:v>0.90848283018244069</c:v>
                </c:pt>
                <c:pt idx="6">
                  <c:v>1.3036134057395306</c:v>
                </c:pt>
                <c:pt idx="7">
                  <c:v>1.3580127638540971</c:v>
                </c:pt>
                <c:pt idx="8">
                  <c:v>1.494593442816377</c:v>
                </c:pt>
                <c:pt idx="9">
                  <c:v>1.6155500299430789</c:v>
                </c:pt>
                <c:pt idx="10">
                  <c:v>1.773981459039832</c:v>
                </c:pt>
                <c:pt idx="11">
                  <c:v>1.8467139249071469</c:v>
                </c:pt>
                <c:pt idx="12">
                  <c:v>1.8692601636837638</c:v>
                </c:pt>
                <c:pt idx="13">
                  <c:v>1.880475735972019</c:v>
                </c:pt>
                <c:pt idx="14">
                  <c:v>2.1286588461767328</c:v>
                </c:pt>
                <c:pt idx="15">
                  <c:v>2.545197973564544</c:v>
                </c:pt>
                <c:pt idx="16">
                  <c:v>2.5696905928767992</c:v>
                </c:pt>
                <c:pt idx="17">
                  <c:v>2.7550413437947125</c:v>
                </c:pt>
                <c:pt idx="18">
                  <c:v>2.8300550574607501</c:v>
                </c:pt>
                <c:pt idx="19">
                  <c:v>2.969076150770849</c:v>
                </c:pt>
                <c:pt idx="20">
                  <c:v>3.1781220587688472</c:v>
                </c:pt>
                <c:pt idx="21">
                  <c:v>3.1789090982100316</c:v>
                </c:pt>
                <c:pt idx="22">
                  <c:v>3.2562027747436968</c:v>
                </c:pt>
                <c:pt idx="23">
                  <c:v>3.8725569692099762</c:v>
                </c:pt>
                <c:pt idx="24">
                  <c:v>3.8886380564768785</c:v>
                </c:pt>
                <c:pt idx="25">
                  <c:v>3.9280294422960833</c:v>
                </c:pt>
                <c:pt idx="26">
                  <c:v>3.999274408572183</c:v>
                </c:pt>
                <c:pt idx="27">
                  <c:v>4.7308179172563234</c:v>
                </c:pt>
                <c:pt idx="28">
                  <c:v>5.1145803514140358</c:v>
                </c:pt>
                <c:pt idx="29">
                  <c:v>1.2865144070774943</c:v>
                </c:pt>
              </c:numCache>
            </c:numRef>
          </c:val>
          <c:smooth val="0"/>
          <c:extLst>
            <c:ext xmlns:c16="http://schemas.microsoft.com/office/drawing/2014/chart" uri="{C3380CC4-5D6E-409C-BE32-E72D297353CC}">
              <c16:uniqueId val="{00000003-12EB-4DBA-A4C5-7A4338F158DF}"/>
            </c:ext>
          </c:extLst>
        </c:ser>
        <c:dLbls>
          <c:showLegendKey val="0"/>
          <c:showVal val="0"/>
          <c:showCatName val="0"/>
          <c:showSerName val="0"/>
          <c:showPercent val="0"/>
          <c:showBubbleSize val="0"/>
        </c:dLbls>
        <c:marker val="1"/>
        <c:smooth val="0"/>
        <c:axId val="606642928"/>
        <c:axId val="606643256"/>
      </c:lineChart>
      <c:catAx>
        <c:axId val="60664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a:t>
                </a:r>
              </a:p>
            </c:rich>
          </c:tx>
          <c:layout>
            <c:manualLayout>
              <c:xMode val="edge"/>
              <c:yMode val="edge"/>
              <c:x val="3.7967251064929312E-2"/>
              <c:y val="0.133145257544990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43256"/>
        <c:crosses val="autoZero"/>
        <c:auto val="1"/>
        <c:lblAlgn val="ctr"/>
        <c:lblOffset val="100"/>
        <c:noMultiLvlLbl val="0"/>
      </c:catAx>
      <c:valAx>
        <c:axId val="6066432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42928"/>
        <c:crosses val="autoZero"/>
        <c:crossBetween val="between"/>
      </c:valAx>
      <c:spPr>
        <a:noFill/>
        <a:ln>
          <a:noFill/>
        </a:ln>
        <a:effectLst/>
      </c:spPr>
    </c:plotArea>
    <c:legend>
      <c:legendPos val="b"/>
      <c:layout>
        <c:manualLayout>
          <c:xMode val="edge"/>
          <c:yMode val="edge"/>
          <c:x val="4.1875195721127891E-2"/>
          <c:y val="0.2268457560553124"/>
          <c:w val="0.79921349614357529"/>
          <c:h val="9.467459744372831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'European Union'!$A$10:$A$30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'European Union'!$C$10:$C$30</c:f>
              <c:numCache>
                <c:formatCode>0.0</c:formatCode>
                <c:ptCount val="21"/>
                <c:pt idx="0">
                  <c:v>1.1293455588610368</c:v>
                </c:pt>
                <c:pt idx="1">
                  <c:v>0.44157463021159349</c:v>
                </c:pt>
                <c:pt idx="2">
                  <c:v>1.4885626399714709</c:v>
                </c:pt>
                <c:pt idx="3">
                  <c:v>0.57846561087601456</c:v>
                </c:pt>
                <c:pt idx="4">
                  <c:v>1.5613010839000494</c:v>
                </c:pt>
                <c:pt idx="5">
                  <c:v>0.92223915943303569</c:v>
                </c:pt>
                <c:pt idx="6">
                  <c:v>-0.50736713365202124</c:v>
                </c:pt>
                <c:pt idx="7">
                  <c:v>-2.3352150075512115</c:v>
                </c:pt>
                <c:pt idx="8">
                  <c:v>2.1401107730000217</c:v>
                </c:pt>
                <c:pt idx="9">
                  <c:v>1.6069726521229768</c:v>
                </c:pt>
                <c:pt idx="10">
                  <c:v>-2.5365598233519665E-2</c:v>
                </c:pt>
                <c:pt idx="11">
                  <c:v>0.46470685446549942</c:v>
                </c:pt>
                <c:pt idx="12">
                  <c:v>0.85936626575820696</c:v>
                </c:pt>
                <c:pt idx="13">
                  <c:v>1.1485519414458598</c:v>
                </c:pt>
                <c:pt idx="14">
                  <c:v>0.52782861366321865</c:v>
                </c:pt>
                <c:pt idx="15">
                  <c:v>1.7926450869402246</c:v>
                </c:pt>
                <c:pt idx="16">
                  <c:v>0.90351920113309814</c:v>
                </c:pt>
                <c:pt idx="17">
                  <c:v>0.67317126118301007</c:v>
                </c:pt>
                <c:pt idx="18">
                  <c:v>-1.19032337829141</c:v>
                </c:pt>
                <c:pt idx="19">
                  <c:v>2.0047017680425854</c:v>
                </c:pt>
                <c:pt idx="20">
                  <c:v>1.4781801204589788</c:v>
                </c:pt>
              </c:numCache>
            </c:numRef>
          </c:val>
          <c:smooth val="0"/>
          <c:extLst>
            <c:ext xmlns:c16="http://schemas.microsoft.com/office/drawing/2014/chart" uri="{C3380CC4-5D6E-409C-BE32-E72D297353CC}">
              <c16:uniqueId val="{00000001-3667-452C-B40D-2D4EBD41B779}"/>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3667-452C-B40D-2D4EBD41B779}"/>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9202010996183045"/>
          <c:w val="0.40000314511328022"/>
          <c:h val="0.10797989003816955"/>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 </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'European Union'!$A$10:$A$30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'European Union'!$E$10:$E$30</c:f>
              <c:numCache>
                <c:formatCode>0.0</c:formatCode>
                <c:ptCount val="21"/>
                <c:pt idx="0">
                  <c:v>-0.6209255913634667</c:v>
                </c:pt>
                <c:pt idx="1">
                  <c:v>-7.2004478888373261E-2</c:v>
                </c:pt>
                <c:pt idx="2">
                  <c:v>0.60051384496974847</c:v>
                </c:pt>
                <c:pt idx="3">
                  <c:v>0.47282059552738126</c:v>
                </c:pt>
                <c:pt idx="4">
                  <c:v>1.1625494528113836</c:v>
                </c:pt>
                <c:pt idx="5">
                  <c:v>1.4030694323406219</c:v>
                </c:pt>
                <c:pt idx="6">
                  <c:v>0.57721681113698986</c:v>
                </c:pt>
                <c:pt idx="7">
                  <c:v>-2.1388009709110802</c:v>
                </c:pt>
                <c:pt idx="8">
                  <c:v>-0.47411413832077748</c:v>
                </c:pt>
                <c:pt idx="9">
                  <c:v>1.4995942294167775E-2</c:v>
                </c:pt>
                <c:pt idx="10">
                  <c:v>-0.86980497584113647</c:v>
                </c:pt>
                <c:pt idx="11">
                  <c:v>-0.61568577230269372</c:v>
                </c:pt>
                <c:pt idx="12">
                  <c:v>0.58781243572774788</c:v>
                </c:pt>
                <c:pt idx="13">
                  <c:v>0.58242920740915782</c:v>
                </c:pt>
                <c:pt idx="14">
                  <c:v>1.0223327258890405</c:v>
                </c:pt>
                <c:pt idx="15">
                  <c:v>0.67520130549422464</c:v>
                </c:pt>
                <c:pt idx="16">
                  <c:v>0.85364369185930122</c:v>
                </c:pt>
                <c:pt idx="17">
                  <c:v>0.73804564308540677</c:v>
                </c:pt>
                <c:pt idx="18">
                  <c:v>-4.6400854794199899</c:v>
                </c:pt>
                <c:pt idx="19">
                  <c:v>3.6577175526488404</c:v>
                </c:pt>
                <c:pt idx="20">
                  <c:v>1.9185532409113581</c:v>
                </c:pt>
              </c:numCache>
            </c:numRef>
          </c:val>
          <c:extLst>
            <c:ext xmlns:c16="http://schemas.microsoft.com/office/drawing/2014/chart" uri="{C3380CC4-5D6E-409C-BE32-E72D297353CC}">
              <c16:uniqueId val="{00000000-B592-4ACF-8003-43CDA45E6649}"/>
            </c:ext>
          </c:extLst>
        </c:ser>
        <c:ser>
          <c:idx val="3"/>
          <c:order val="2"/>
          <c:tx>
            <c:v>Capital stock</c:v>
          </c:tx>
          <c:spPr>
            <a:solidFill>
              <a:srgbClr val="1E88E5"/>
            </a:solidFill>
            <a:ln>
              <a:noFill/>
            </a:ln>
            <a:effectLst/>
          </c:spPr>
          <c:invertIfNegative val="0"/>
          <c:cat>
            <c:numRef>
              <c:f>'European Union'!$A$10:$A$30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'European Union'!$F$10:$F$30</c:f>
              <c:numCache>
                <c:formatCode>0.0</c:formatCode>
                <c:ptCount val="21"/>
                <c:pt idx="0">
                  <c:v>0.5905585930434718</c:v>
                </c:pt>
                <c:pt idx="1">
                  <c:v>0.45879055001855906</c:v>
                </c:pt>
                <c:pt idx="2">
                  <c:v>0.54572550651844798</c:v>
                </c:pt>
                <c:pt idx="3">
                  <c:v>0.77140718310484957</c:v>
                </c:pt>
                <c:pt idx="4">
                  <c:v>0.78020705427747428</c:v>
                </c:pt>
                <c:pt idx="5">
                  <c:v>0.95315511066516989</c:v>
                </c:pt>
                <c:pt idx="6">
                  <c:v>0.78219711941923586</c:v>
                </c:pt>
                <c:pt idx="7">
                  <c:v>9.4579455476222887E-2</c:v>
                </c:pt>
                <c:pt idx="8">
                  <c:v>0.51899833407002116</c:v>
                </c:pt>
                <c:pt idx="9">
                  <c:v>0.41122627704701648</c:v>
                </c:pt>
                <c:pt idx="10">
                  <c:v>0.22311276358247908</c:v>
                </c:pt>
                <c:pt idx="11">
                  <c:v>0.21783554199865418</c:v>
                </c:pt>
                <c:pt idx="12">
                  <c:v>0.16002434590619241</c:v>
                </c:pt>
                <c:pt idx="13">
                  <c:v>0.45833672589896451</c:v>
                </c:pt>
                <c:pt idx="14">
                  <c:v>0.29111828720000893</c:v>
                </c:pt>
                <c:pt idx="15">
                  <c:v>0.36592455823778269</c:v>
                </c:pt>
                <c:pt idx="16">
                  <c:v>0.31596600438751715</c:v>
                </c:pt>
                <c:pt idx="17">
                  <c:v>0.43687922575963717</c:v>
                </c:pt>
                <c:pt idx="18">
                  <c:v>0.24518086611038389</c:v>
                </c:pt>
                <c:pt idx="19">
                  <c:v>0.35734059212306707</c:v>
                </c:pt>
                <c:pt idx="20">
                  <c:v>0.28806082764730012</c:v>
                </c:pt>
              </c:numCache>
            </c:numRef>
          </c:val>
          <c:extLst>
            <c:ext xmlns:c16="http://schemas.microsoft.com/office/drawing/2014/chart" uri="{C3380CC4-5D6E-409C-BE32-E72D297353CC}">
              <c16:uniqueId val="{00000001-B592-4ACF-8003-43CDA45E6649}"/>
            </c:ext>
          </c:extLst>
        </c:ser>
        <c:ser>
          <c:idx val="0"/>
          <c:order val="3"/>
          <c:tx>
            <c:v>MFP</c:v>
          </c:tx>
          <c:spPr>
            <a:solidFill>
              <a:srgbClr val="D81B22"/>
            </a:solidFill>
            <a:ln>
              <a:noFill/>
            </a:ln>
            <a:effectLst/>
          </c:spPr>
          <c:invertIfNegative val="0"/>
          <c:cat>
            <c:numRef>
              <c:f>'European Union'!$A$10:$A$30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'European Union'!$C$10:$C$30</c:f>
              <c:numCache>
                <c:formatCode>0.0</c:formatCode>
                <c:ptCount val="21"/>
                <c:pt idx="0">
                  <c:v>1.1293455588610368</c:v>
                </c:pt>
                <c:pt idx="1">
                  <c:v>0.44157463021159349</c:v>
                </c:pt>
                <c:pt idx="2">
                  <c:v>1.4885626399714709</c:v>
                </c:pt>
                <c:pt idx="3">
                  <c:v>0.57846561087601456</c:v>
                </c:pt>
                <c:pt idx="4">
                  <c:v>1.5613010839000494</c:v>
                </c:pt>
                <c:pt idx="5">
                  <c:v>0.92223915943303569</c:v>
                </c:pt>
                <c:pt idx="6">
                  <c:v>-0.50736713365202124</c:v>
                </c:pt>
                <c:pt idx="7">
                  <c:v>-2.3352150075512115</c:v>
                </c:pt>
                <c:pt idx="8">
                  <c:v>2.1401107730000217</c:v>
                </c:pt>
                <c:pt idx="9">
                  <c:v>1.6069726521229768</c:v>
                </c:pt>
                <c:pt idx="10">
                  <c:v>-2.5365598233519665E-2</c:v>
                </c:pt>
                <c:pt idx="11">
                  <c:v>0.46470685446549942</c:v>
                </c:pt>
                <c:pt idx="12">
                  <c:v>0.85936626575820696</c:v>
                </c:pt>
                <c:pt idx="13">
                  <c:v>1.1485519414458598</c:v>
                </c:pt>
                <c:pt idx="14">
                  <c:v>0.52782861366321865</c:v>
                </c:pt>
                <c:pt idx="15">
                  <c:v>1.7926450869402246</c:v>
                </c:pt>
                <c:pt idx="16">
                  <c:v>0.90351920113309814</c:v>
                </c:pt>
                <c:pt idx="17">
                  <c:v>0.67317126118301007</c:v>
                </c:pt>
                <c:pt idx="18">
                  <c:v>-1.19032337829141</c:v>
                </c:pt>
                <c:pt idx="19">
                  <c:v>2.0047017680425854</c:v>
                </c:pt>
                <c:pt idx="20">
                  <c:v>1.4781801204589788</c:v>
                </c:pt>
              </c:numCache>
            </c:numRef>
          </c:val>
          <c:extLst>
            <c:ext xmlns:c16="http://schemas.microsoft.com/office/drawing/2014/chart" uri="{C3380CC4-5D6E-409C-BE32-E72D297353CC}">
              <c16:uniqueId val="{00000002-B592-4ACF-8003-43CDA45E6649}"/>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'European Union'!$D$10:$D$30</c:f>
              <c:numCache>
                <c:formatCode>0.0</c:formatCode>
                <c:ptCount val="21"/>
                <c:pt idx="0">
                  <c:v>1.0989785605410418</c:v>
                </c:pt>
                <c:pt idx="1">
                  <c:v>0.8283607013417793</c:v>
                </c:pt>
                <c:pt idx="2">
                  <c:v>2.6348019914596676</c:v>
                </c:pt>
                <c:pt idx="3">
                  <c:v>1.8226933895082453</c:v>
                </c:pt>
                <c:pt idx="4">
                  <c:v>3.5040575909889071</c:v>
                </c:pt>
                <c:pt idx="5">
                  <c:v>3.2784637024388275</c:v>
                </c:pt>
                <c:pt idx="6">
                  <c:v>0.85204679690420448</c:v>
                </c:pt>
                <c:pt idx="7">
                  <c:v>-4.3794365229860688</c:v>
                </c:pt>
                <c:pt idx="8">
                  <c:v>2.1849949687492654</c:v>
                </c:pt>
                <c:pt idx="9">
                  <c:v>2.0331948714641612</c:v>
                </c:pt>
                <c:pt idx="10">
                  <c:v>-0.67205781049217705</c:v>
                </c:pt>
                <c:pt idx="11">
                  <c:v>6.6856624161459877E-2</c:v>
                </c:pt>
                <c:pt idx="12">
                  <c:v>1.6072030473921473</c:v>
                </c:pt>
                <c:pt idx="13">
                  <c:v>2.1893178747539821</c:v>
                </c:pt>
                <c:pt idx="14">
                  <c:v>1.841279626752268</c:v>
                </c:pt>
                <c:pt idx="15">
                  <c:v>2.8337709506722319</c:v>
                </c:pt>
                <c:pt idx="16">
                  <c:v>2.0731288973799167</c:v>
                </c:pt>
                <c:pt idx="17">
                  <c:v>1.8480961300280541</c:v>
                </c:pt>
                <c:pt idx="18">
                  <c:v>-5.5852279916010161</c:v>
                </c:pt>
                <c:pt idx="19">
                  <c:v>6.019759912814493</c:v>
                </c:pt>
                <c:pt idx="20">
                  <c:v>3.6847941890176372</c:v>
                </c:pt>
              </c:numCache>
            </c:numRef>
          </c:val>
          <c:smooth val="0"/>
          <c:extLst>
            <c:ext xmlns:c16="http://schemas.microsoft.com/office/drawing/2014/chart" uri="{C3380CC4-5D6E-409C-BE32-E72D297353CC}">
              <c16:uniqueId val="{00000003-B592-4ACF-8003-43CDA45E6649}"/>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'Euro area'!$A$10:$A$30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 area'!$C$10:$C$30</c:f>
              <c:numCache>
                <c:formatCode>0.0</c:formatCode>
                <c:ptCount val="21"/>
                <c:pt idx="0">
                  <c:v>0.3197790085016281</c:v>
                </c:pt>
                <c:pt idx="1">
                  <c:v>-6.8706967769957439E-2</c:v>
                </c:pt>
                <c:pt idx="2">
                  <c:v>1.0828189845931979</c:v>
                </c:pt>
                <c:pt idx="3">
                  <c:v>0.50165408369369502</c:v>
                </c:pt>
                <c:pt idx="4">
                  <c:v>1.343974357246061</c:v>
                </c:pt>
                <c:pt idx="5">
                  <c:v>0.99664417428265017</c:v>
                </c:pt>
                <c:pt idx="6">
                  <c:v>-0.51270137572238783</c:v>
                </c:pt>
                <c:pt idx="7">
                  <c:v>-2.6629725402905877</c:v>
                </c:pt>
                <c:pt idx="8">
                  <c:v>2.077164665036026</c:v>
                </c:pt>
                <c:pt idx="9">
                  <c:v>1.4738266685300507</c:v>
                </c:pt>
                <c:pt idx="10">
                  <c:v>1.6878638511948707E-2</c:v>
                </c:pt>
                <c:pt idx="11">
                  <c:v>0.53581947364855909</c:v>
                </c:pt>
                <c:pt idx="12">
                  <c:v>0.78398554128203268</c:v>
                </c:pt>
                <c:pt idx="13">
                  <c:v>0.92368979984865263</c:v>
                </c:pt>
                <c:pt idx="14">
                  <c:v>0.40580942476761594</c:v>
                </c:pt>
                <c:pt idx="15">
                  <c:v>1.6122074683292782</c:v>
                </c:pt>
                <c:pt idx="16">
                  <c:v>0.33947452381445165</c:v>
                </c:pt>
                <c:pt idx="17">
                  <c:v>0.44109751824335192</c:v>
                </c:pt>
                <c:pt idx="18">
                  <c:v>-0.71928978504165264</c:v>
                </c:pt>
                <c:pt idx="19">
                  <c:v>1.8043271586271397</c:v>
                </c:pt>
                <c:pt idx="20">
                  <c:v>1.1630507348644787</c:v>
                </c:pt>
              </c:numCache>
            </c:numRef>
          </c:val>
          <c:smooth val="0"/>
          <c:extLst>
            <c:ext xmlns:c16="http://schemas.microsoft.com/office/drawing/2014/chart" uri="{C3380CC4-5D6E-409C-BE32-E72D297353CC}">
              <c16:uniqueId val="{00000001-C222-4FC2-A9A9-7CBB7E1FEE46}"/>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C222-4FC2-A9A9-7CBB7E1FEE46}"/>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91525740981686243"/>
          <c:w val="0.34864793826591933"/>
          <c:h val="8.4742590183137373E-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'Euro area'!$A$10:$A$30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 area'!$E$10:$E$30</c:f>
              <c:numCache>
                <c:formatCode>0.0</c:formatCode>
                <c:ptCount val="21"/>
                <c:pt idx="0">
                  <c:v>2.3795267364111077E-2</c:v>
                </c:pt>
                <c:pt idx="1">
                  <c:v>9.5842598267278839E-2</c:v>
                </c:pt>
                <c:pt idx="2">
                  <c:v>0.70254192004368621</c:v>
                </c:pt>
                <c:pt idx="3">
                  <c:v>0.48310314246594471</c:v>
                </c:pt>
                <c:pt idx="4">
                  <c:v>1.1760789167304728</c:v>
                </c:pt>
                <c:pt idx="5">
                  <c:v>1.3478013036266769</c:v>
                </c:pt>
                <c:pt idx="6">
                  <c:v>0.41847938459013534</c:v>
                </c:pt>
                <c:pt idx="7">
                  <c:v>-2.3105542584609422</c:v>
                </c:pt>
                <c:pt idx="8">
                  <c:v>-0.2465798376215218</c:v>
                </c:pt>
                <c:pt idx="9">
                  <c:v>7.3635833696606159E-2</c:v>
                </c:pt>
                <c:pt idx="10">
                  <c:v>-1.0425646118166649</c:v>
                </c:pt>
                <c:pt idx="11">
                  <c:v>-0.77710859372020702</c:v>
                </c:pt>
                <c:pt idx="12">
                  <c:v>0.44536767997371307</c:v>
                </c:pt>
                <c:pt idx="13">
                  <c:v>0.5906241516577293</c:v>
                </c:pt>
                <c:pt idx="14">
                  <c:v>1.0664806557670428</c:v>
                </c:pt>
                <c:pt idx="15">
                  <c:v>0.72079571526689579</c:v>
                </c:pt>
                <c:pt idx="16">
                  <c:v>1.1296503125345467</c:v>
                </c:pt>
                <c:pt idx="17">
                  <c:v>0.71860145089579253</c:v>
                </c:pt>
                <c:pt idx="18">
                  <c:v>-5.557200998976044</c:v>
                </c:pt>
                <c:pt idx="19">
                  <c:v>3.9780373580284301</c:v>
                </c:pt>
                <c:pt idx="20">
                  <c:v>2.3105036521599573</c:v>
                </c:pt>
              </c:numCache>
            </c:numRef>
          </c:val>
          <c:extLst>
            <c:ext xmlns:c16="http://schemas.microsoft.com/office/drawing/2014/chart" uri="{C3380CC4-5D6E-409C-BE32-E72D297353CC}">
              <c16:uniqueId val="{00000000-DB6D-4E6B-B229-539AEB3C8D8E}"/>
            </c:ext>
          </c:extLst>
        </c:ser>
        <c:ser>
          <c:idx val="3"/>
          <c:order val="2"/>
          <c:tx>
            <c:v>Capital stock</c:v>
          </c:tx>
          <c:spPr>
            <a:solidFill>
              <a:srgbClr val="1E88E5"/>
            </a:solidFill>
            <a:ln>
              <a:noFill/>
            </a:ln>
            <a:effectLst/>
          </c:spPr>
          <c:invertIfNegative val="0"/>
          <c:cat>
            <c:numRef>
              <c:f>'Euro area'!$A$10:$A$30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 area'!$F$10:$F$30</c:f>
              <c:numCache>
                <c:formatCode>0.0</c:formatCode>
                <c:ptCount val="21"/>
                <c:pt idx="0">
                  <c:v>0.63874715325202147</c:v>
                </c:pt>
                <c:pt idx="1">
                  <c:v>0.63510732957747784</c:v>
                </c:pt>
                <c:pt idx="2">
                  <c:v>0.6329932249107888</c:v>
                </c:pt>
                <c:pt idx="3">
                  <c:v>0.67758585300486807</c:v>
                </c:pt>
                <c:pt idx="4">
                  <c:v>0.76020829081160002</c:v>
                </c:pt>
                <c:pt idx="5">
                  <c:v>0.8570826625222927</c:v>
                </c:pt>
                <c:pt idx="6">
                  <c:v>0.75279944173758795</c:v>
                </c:pt>
                <c:pt idx="7">
                  <c:v>0.37388911293593574</c:v>
                </c:pt>
                <c:pt idx="8">
                  <c:v>0.31255642226469965</c:v>
                </c:pt>
                <c:pt idx="9">
                  <c:v>0.30454212709556683</c:v>
                </c:pt>
                <c:pt idx="10">
                  <c:v>0.21846957976482717</c:v>
                </c:pt>
                <c:pt idx="11">
                  <c:v>0.18818991598018103</c:v>
                </c:pt>
                <c:pt idx="12">
                  <c:v>0.19533948479686472</c:v>
                </c:pt>
                <c:pt idx="13">
                  <c:v>0.44969420490985962</c:v>
                </c:pt>
                <c:pt idx="14">
                  <c:v>0.26951815718901562</c:v>
                </c:pt>
                <c:pt idx="15">
                  <c:v>0.3144225334785512</c:v>
                </c:pt>
                <c:pt idx="16">
                  <c:v>0.34366724138130911</c:v>
                </c:pt>
                <c:pt idx="17">
                  <c:v>0.44231427972962772</c:v>
                </c:pt>
                <c:pt idx="18">
                  <c:v>0.25579515942065773</c:v>
                </c:pt>
                <c:pt idx="19">
                  <c:v>0.27299289004982763</c:v>
                </c:pt>
                <c:pt idx="20">
                  <c:v>0.30159238143880845</c:v>
                </c:pt>
              </c:numCache>
            </c:numRef>
          </c:val>
          <c:extLst>
            <c:ext xmlns:c16="http://schemas.microsoft.com/office/drawing/2014/chart" uri="{C3380CC4-5D6E-409C-BE32-E72D297353CC}">
              <c16:uniqueId val="{00000001-DB6D-4E6B-B229-539AEB3C8D8E}"/>
            </c:ext>
          </c:extLst>
        </c:ser>
        <c:ser>
          <c:idx val="0"/>
          <c:order val="3"/>
          <c:tx>
            <c:v>MFP</c:v>
          </c:tx>
          <c:spPr>
            <a:solidFill>
              <a:srgbClr val="D81B22"/>
            </a:solidFill>
            <a:ln>
              <a:noFill/>
            </a:ln>
            <a:effectLst/>
          </c:spPr>
          <c:invertIfNegative val="0"/>
          <c:cat>
            <c:numRef>
              <c:f>'Euro area'!$A$10:$A$30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'Euro area'!$C$10:$C$30</c:f>
              <c:numCache>
                <c:formatCode>0.0</c:formatCode>
                <c:ptCount val="21"/>
                <c:pt idx="0">
                  <c:v>0.3197790085016281</c:v>
                </c:pt>
                <c:pt idx="1">
                  <c:v>-6.8706967769957439E-2</c:v>
                </c:pt>
                <c:pt idx="2">
                  <c:v>1.0828189845931979</c:v>
                </c:pt>
                <c:pt idx="3">
                  <c:v>0.50165408369369502</c:v>
                </c:pt>
                <c:pt idx="4">
                  <c:v>1.343974357246061</c:v>
                </c:pt>
                <c:pt idx="5">
                  <c:v>0.99664417428265017</c:v>
                </c:pt>
                <c:pt idx="6">
                  <c:v>-0.51270137572238783</c:v>
                </c:pt>
                <c:pt idx="7">
                  <c:v>-2.6629725402905877</c:v>
                </c:pt>
                <c:pt idx="8">
                  <c:v>2.077164665036026</c:v>
                </c:pt>
                <c:pt idx="9">
                  <c:v>1.4738266685300507</c:v>
                </c:pt>
                <c:pt idx="10">
                  <c:v>1.6878638511948707E-2</c:v>
                </c:pt>
                <c:pt idx="11">
                  <c:v>0.53581947364855909</c:v>
                </c:pt>
                <c:pt idx="12">
                  <c:v>0.78398554128203268</c:v>
                </c:pt>
                <c:pt idx="13">
                  <c:v>0.92368979984865263</c:v>
                </c:pt>
                <c:pt idx="14">
                  <c:v>0.40580942476761594</c:v>
                </c:pt>
                <c:pt idx="15">
                  <c:v>1.6122074683292782</c:v>
                </c:pt>
                <c:pt idx="16">
                  <c:v>0.33947452381445165</c:v>
                </c:pt>
                <c:pt idx="17">
                  <c:v>0.44109751824335192</c:v>
                </c:pt>
                <c:pt idx="18">
                  <c:v>-0.71928978504165264</c:v>
                </c:pt>
                <c:pt idx="19">
                  <c:v>1.8043271586271397</c:v>
                </c:pt>
                <c:pt idx="20">
                  <c:v>1.1630507348644787</c:v>
                </c:pt>
              </c:numCache>
            </c:numRef>
          </c:val>
          <c:extLst>
            <c:ext xmlns:c16="http://schemas.microsoft.com/office/drawing/2014/chart" uri="{C3380CC4-5D6E-409C-BE32-E72D297353CC}">
              <c16:uniqueId val="{00000002-DB6D-4E6B-B229-539AEB3C8D8E}"/>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'Euro area'!$D$10:$D$30</c:f>
              <c:numCache>
                <c:formatCode>0.0</c:formatCode>
                <c:ptCount val="21"/>
                <c:pt idx="0">
                  <c:v>0.98232142911776066</c:v>
                </c:pt>
                <c:pt idx="1">
                  <c:v>0.66224296007479921</c:v>
                </c:pt>
                <c:pt idx="2">
                  <c:v>2.4183541295476729</c:v>
                </c:pt>
                <c:pt idx="3">
                  <c:v>1.6623430791645077</c:v>
                </c:pt>
                <c:pt idx="4">
                  <c:v>3.2802615647881339</c:v>
                </c:pt>
                <c:pt idx="5">
                  <c:v>3.2015281404316198</c:v>
                </c:pt>
                <c:pt idx="6">
                  <c:v>0.65857745060533546</c:v>
                </c:pt>
                <c:pt idx="7">
                  <c:v>-4.5996376858155941</c:v>
                </c:pt>
                <c:pt idx="8">
                  <c:v>2.1431412496792035</c:v>
                </c:pt>
                <c:pt idx="9">
                  <c:v>1.8520046293222236</c:v>
                </c:pt>
                <c:pt idx="10">
                  <c:v>-0.80721639353988905</c:v>
                </c:pt>
                <c:pt idx="11">
                  <c:v>-5.3099204091466845E-2</c:v>
                </c:pt>
                <c:pt idx="12">
                  <c:v>1.4246927060526104</c:v>
                </c:pt>
                <c:pt idx="13">
                  <c:v>1.9640081564162415</c:v>
                </c:pt>
                <c:pt idx="14">
                  <c:v>1.7418082377236743</c:v>
                </c:pt>
                <c:pt idx="15">
                  <c:v>2.6474257170747251</c:v>
                </c:pt>
                <c:pt idx="16">
                  <c:v>1.8127920777303075</c:v>
                </c:pt>
                <c:pt idx="17">
                  <c:v>1.6020132488687722</c:v>
                </c:pt>
                <c:pt idx="18">
                  <c:v>-6.0206956245970389</c:v>
                </c:pt>
                <c:pt idx="19">
                  <c:v>6.0553574067053972</c:v>
                </c:pt>
                <c:pt idx="20">
                  <c:v>3.7751467684632445</c:v>
                </c:pt>
              </c:numCache>
            </c:numRef>
          </c:val>
          <c:smooth val="0"/>
          <c:extLst>
            <c:ext xmlns:c16="http://schemas.microsoft.com/office/drawing/2014/chart" uri="{C3380CC4-5D6E-409C-BE32-E72D297353CC}">
              <c16:uniqueId val="{00000003-DB6D-4E6B-B229-539AEB3C8D8E}"/>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Belgium!$A$10:$A$30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Belgium!$C$10:$C$30</c:f>
              <c:numCache>
                <c:formatCode>0.0</c:formatCode>
                <c:ptCount val="21"/>
                <c:pt idx="0">
                  <c:v>0.5045376431302101</c:v>
                </c:pt>
                <c:pt idx="1">
                  <c:v>0.66790938035792968</c:v>
                </c:pt>
                <c:pt idx="2">
                  <c:v>2.6746707485599064</c:v>
                </c:pt>
                <c:pt idx="3">
                  <c:v>1.0735279604254737</c:v>
                </c:pt>
                <c:pt idx="4">
                  <c:v>0.4762459473937557</c:v>
                </c:pt>
                <c:pt idx="5">
                  <c:v>1.7872402559139777</c:v>
                </c:pt>
                <c:pt idx="6">
                  <c:v>-0.70324611024361916</c:v>
                </c:pt>
                <c:pt idx="7">
                  <c:v>-1.1109272153329486</c:v>
                </c:pt>
                <c:pt idx="8">
                  <c:v>1.2212353610936484</c:v>
                </c:pt>
                <c:pt idx="9">
                  <c:v>0.169068618382476</c:v>
                </c:pt>
                <c:pt idx="10">
                  <c:v>-0.20607743556709379</c:v>
                </c:pt>
                <c:pt idx="11">
                  <c:v>0.20137323192948897</c:v>
                </c:pt>
                <c:pt idx="12">
                  <c:v>1.4322072422851195</c:v>
                </c:pt>
                <c:pt idx="13">
                  <c:v>0.80728330783576219</c:v>
                </c:pt>
                <c:pt idx="14">
                  <c:v>-0.49985491559703416</c:v>
                </c:pt>
                <c:pt idx="15">
                  <c:v>-0.19819618815770418</c:v>
                </c:pt>
                <c:pt idx="16">
                  <c:v>0.24446680902164369</c:v>
                </c:pt>
                <c:pt idx="17">
                  <c:v>0.94427049490876924</c:v>
                </c:pt>
                <c:pt idx="18">
                  <c:v>1.5186962247201401</c:v>
                </c:pt>
                <c:pt idx="19">
                  <c:v>-0.48022960474433063</c:v>
                </c:pt>
                <c:pt idx="20">
                  <c:v>0.88950418630644368</c:v>
                </c:pt>
              </c:numCache>
            </c:numRef>
          </c:val>
          <c:smooth val="0"/>
          <c:extLst>
            <c:ext xmlns:c16="http://schemas.microsoft.com/office/drawing/2014/chart" uri="{C3380CC4-5D6E-409C-BE32-E72D297353CC}">
              <c16:uniqueId val="{00000001-68E0-494E-BA91-3A997D882201}"/>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68E0-494E-BA91-3A997D882201}"/>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7110654009230148"/>
          <c:w val="0.37717860873667541"/>
          <c:h val="0.1288934599076985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Belgium!$A$10:$A$30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Belgium!$E$10:$E$30</c:f>
              <c:numCache>
                <c:formatCode>0.0</c:formatCode>
                <c:ptCount val="21"/>
                <c:pt idx="0">
                  <c:v>0.76016559901638125</c:v>
                </c:pt>
                <c:pt idx="1">
                  <c:v>0.14558932832341978</c:v>
                </c:pt>
                <c:pt idx="2">
                  <c:v>0.24300286238512026</c:v>
                </c:pt>
                <c:pt idx="3">
                  <c:v>0.56794312134075176</c:v>
                </c:pt>
                <c:pt idx="4">
                  <c:v>1.4441289277087077</c:v>
                </c:pt>
                <c:pt idx="5">
                  <c:v>1.2822703338706729</c:v>
                </c:pt>
                <c:pt idx="6">
                  <c:v>0.77494013836194531</c:v>
                </c:pt>
                <c:pt idx="7">
                  <c:v>-0.97422035773893556</c:v>
                </c:pt>
                <c:pt idx="8">
                  <c:v>1.1991955999325674</c:v>
                </c:pt>
                <c:pt idx="9">
                  <c:v>1.7016495961290787</c:v>
                </c:pt>
                <c:pt idx="10">
                  <c:v>7.9577598694804408E-2</c:v>
                </c:pt>
                <c:pt idx="11">
                  <c:v>-0.22501575972539908</c:v>
                </c:pt>
                <c:pt idx="12">
                  <c:v>0.10372319253527776</c:v>
                </c:pt>
                <c:pt idx="13">
                  <c:v>0.35067583977732514</c:v>
                </c:pt>
                <c:pt idx="14">
                  <c:v>0.92322121299616999</c:v>
                </c:pt>
                <c:pt idx="15">
                  <c:v>1.1889903283564063</c:v>
                </c:pt>
                <c:pt idx="16">
                  <c:v>1.2124579896331136</c:v>
                </c:pt>
                <c:pt idx="17">
                  <c:v>1.1366572000062596</c:v>
                </c:pt>
                <c:pt idx="18">
                  <c:v>-6.1690795972146706</c:v>
                </c:pt>
                <c:pt idx="19">
                  <c:v>5.6109591997034274</c:v>
                </c:pt>
                <c:pt idx="20">
                  <c:v>3.1315915027240204</c:v>
                </c:pt>
              </c:numCache>
            </c:numRef>
          </c:val>
          <c:extLst>
            <c:ext xmlns:c16="http://schemas.microsoft.com/office/drawing/2014/chart" uri="{C3380CC4-5D6E-409C-BE32-E72D297353CC}">
              <c16:uniqueId val="{00000000-9CBF-4963-B3CC-9DA106E4E0E2}"/>
            </c:ext>
          </c:extLst>
        </c:ser>
        <c:ser>
          <c:idx val="3"/>
          <c:order val="2"/>
          <c:tx>
            <c:v>Capital stock</c:v>
          </c:tx>
          <c:spPr>
            <a:solidFill>
              <a:srgbClr val="1E88E5"/>
            </a:solidFill>
            <a:ln>
              <a:noFill/>
            </a:ln>
            <a:effectLst/>
          </c:spPr>
          <c:invertIfNegative val="0"/>
          <c:cat>
            <c:numRef>
              <c:f>Belgium!$A$10:$A$30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Belgium!$F$10:$F$30</c:f>
              <c:numCache>
                <c:formatCode>0.0</c:formatCode>
                <c:ptCount val="21"/>
                <c:pt idx="0">
                  <c:v>0.35508009611183788</c:v>
                </c:pt>
                <c:pt idx="1">
                  <c:v>0.29441537749021923</c:v>
                </c:pt>
                <c:pt idx="2">
                  <c:v>0.20491062640798338</c:v>
                </c:pt>
                <c:pt idx="3">
                  <c:v>0.7750923803614157</c:v>
                </c:pt>
                <c:pt idx="4">
                  <c:v>0.50030108989178212</c:v>
                </c:pt>
                <c:pt idx="5">
                  <c:v>0.59185821749584555</c:v>
                </c:pt>
                <c:pt idx="6">
                  <c:v>0.71319780526160426</c:v>
                </c:pt>
                <c:pt idx="7">
                  <c:v>0.222270934239928</c:v>
                </c:pt>
                <c:pt idx="8">
                  <c:v>0.27449707959890601</c:v>
                </c:pt>
                <c:pt idx="9">
                  <c:v>0.35828613193981396</c:v>
                </c:pt>
                <c:pt idx="10">
                  <c:v>0.32940614183864425</c:v>
                </c:pt>
                <c:pt idx="11">
                  <c:v>0.25524264757462889</c:v>
                </c:pt>
                <c:pt idx="12">
                  <c:v>0.33452086611657339</c:v>
                </c:pt>
                <c:pt idx="13">
                  <c:v>0.37571213152110933</c:v>
                </c:pt>
                <c:pt idx="14">
                  <c:v>0.44193199371883046</c:v>
                </c:pt>
                <c:pt idx="15">
                  <c:v>0.42588440195517979</c:v>
                </c:pt>
                <c:pt idx="16">
                  <c:v>0.44678218921019314</c:v>
                </c:pt>
                <c:pt idx="17">
                  <c:v>0.49711716124901245</c:v>
                </c:pt>
                <c:pt idx="18">
                  <c:v>0.35581846505053194</c:v>
                </c:pt>
                <c:pt idx="19">
                  <c:v>0.40671826450241166</c:v>
                </c:pt>
                <c:pt idx="20">
                  <c:v>0.42757810393905116</c:v>
                </c:pt>
              </c:numCache>
            </c:numRef>
          </c:val>
          <c:extLst>
            <c:ext xmlns:c16="http://schemas.microsoft.com/office/drawing/2014/chart" uri="{C3380CC4-5D6E-409C-BE32-E72D297353CC}">
              <c16:uniqueId val="{00000001-9CBF-4963-B3CC-9DA106E4E0E2}"/>
            </c:ext>
          </c:extLst>
        </c:ser>
        <c:ser>
          <c:idx val="0"/>
          <c:order val="3"/>
          <c:tx>
            <c:v>MFP</c:v>
          </c:tx>
          <c:spPr>
            <a:solidFill>
              <a:srgbClr val="D81B22"/>
            </a:solidFill>
            <a:ln>
              <a:noFill/>
            </a:ln>
            <a:effectLst/>
          </c:spPr>
          <c:invertIfNegative val="0"/>
          <c:cat>
            <c:numRef>
              <c:f>Belgium!$A$10:$A$30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Belgium!$C$10:$C$30</c:f>
              <c:numCache>
                <c:formatCode>0.0</c:formatCode>
                <c:ptCount val="21"/>
                <c:pt idx="0">
                  <c:v>0.5045376431302101</c:v>
                </c:pt>
                <c:pt idx="1">
                  <c:v>0.66790938035792968</c:v>
                </c:pt>
                <c:pt idx="2">
                  <c:v>2.6746707485599064</c:v>
                </c:pt>
                <c:pt idx="3">
                  <c:v>1.0735279604254737</c:v>
                </c:pt>
                <c:pt idx="4">
                  <c:v>0.4762459473937557</c:v>
                </c:pt>
                <c:pt idx="5">
                  <c:v>1.7872402559139777</c:v>
                </c:pt>
                <c:pt idx="6">
                  <c:v>-0.70324611024361916</c:v>
                </c:pt>
                <c:pt idx="7">
                  <c:v>-1.1109272153329486</c:v>
                </c:pt>
                <c:pt idx="8">
                  <c:v>1.2212353610936484</c:v>
                </c:pt>
                <c:pt idx="9">
                  <c:v>0.169068618382476</c:v>
                </c:pt>
                <c:pt idx="10">
                  <c:v>-0.20607743556709379</c:v>
                </c:pt>
                <c:pt idx="11">
                  <c:v>0.20137323192948897</c:v>
                </c:pt>
                <c:pt idx="12">
                  <c:v>1.4322072422851195</c:v>
                </c:pt>
                <c:pt idx="13">
                  <c:v>0.80728330783576219</c:v>
                </c:pt>
                <c:pt idx="14">
                  <c:v>-0.49985491559703416</c:v>
                </c:pt>
                <c:pt idx="15">
                  <c:v>-0.19819618815770418</c:v>
                </c:pt>
                <c:pt idx="16">
                  <c:v>0.24446680902164369</c:v>
                </c:pt>
                <c:pt idx="17">
                  <c:v>0.94427049490876924</c:v>
                </c:pt>
                <c:pt idx="18">
                  <c:v>1.5186962247201401</c:v>
                </c:pt>
                <c:pt idx="19">
                  <c:v>-0.48022960474433063</c:v>
                </c:pt>
                <c:pt idx="20">
                  <c:v>0.88950418630644368</c:v>
                </c:pt>
              </c:numCache>
            </c:numRef>
          </c:val>
          <c:extLst>
            <c:ext xmlns:c16="http://schemas.microsoft.com/office/drawing/2014/chart" uri="{C3380CC4-5D6E-409C-BE32-E72D297353CC}">
              <c16:uniqueId val="{00000002-9CBF-4963-B3CC-9DA106E4E0E2}"/>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Belgium!$D$10:$D$30</c:f>
              <c:numCache>
                <c:formatCode>0.0</c:formatCode>
                <c:ptCount val="21"/>
                <c:pt idx="0">
                  <c:v>1.6197833382584292</c:v>
                </c:pt>
                <c:pt idx="1">
                  <c:v>1.1079140861715686</c:v>
                </c:pt>
                <c:pt idx="2">
                  <c:v>3.1225842373530099</c:v>
                </c:pt>
                <c:pt idx="3">
                  <c:v>2.4165634621276411</c:v>
                </c:pt>
                <c:pt idx="4">
                  <c:v>2.4206759649942455</c:v>
                </c:pt>
                <c:pt idx="5">
                  <c:v>3.6613688072804962</c:v>
                </c:pt>
                <c:pt idx="6">
                  <c:v>0.7848918333799304</c:v>
                </c:pt>
                <c:pt idx="7">
                  <c:v>-1.8628766388319562</c:v>
                </c:pt>
                <c:pt idx="8">
                  <c:v>2.6949280406251219</c:v>
                </c:pt>
                <c:pt idx="9">
                  <c:v>2.2290043464513687</c:v>
                </c:pt>
                <c:pt idx="10">
                  <c:v>0.20290630496635487</c:v>
                </c:pt>
                <c:pt idx="11">
                  <c:v>0.23160011977871875</c:v>
                </c:pt>
                <c:pt idx="12">
                  <c:v>1.8704513009369705</c:v>
                </c:pt>
                <c:pt idx="13">
                  <c:v>1.5336712791341967</c:v>
                </c:pt>
                <c:pt idx="14">
                  <c:v>0.8652982911179663</c:v>
                </c:pt>
                <c:pt idx="15">
                  <c:v>1.4166785421538819</c:v>
                </c:pt>
                <c:pt idx="16">
                  <c:v>1.9037069878649504</c:v>
                </c:pt>
                <c:pt idx="17">
                  <c:v>2.5780448561640412</c:v>
                </c:pt>
                <c:pt idx="18">
                  <c:v>-4.2945649074439984</c:v>
                </c:pt>
                <c:pt idx="19">
                  <c:v>5.5374478594615084</c:v>
                </c:pt>
                <c:pt idx="20">
                  <c:v>4.4486737929695153</c:v>
                </c:pt>
              </c:numCache>
            </c:numRef>
          </c:val>
          <c:smooth val="0"/>
          <c:extLst>
            <c:ext xmlns:c16="http://schemas.microsoft.com/office/drawing/2014/chart" uri="{C3380CC4-5D6E-409C-BE32-E72D297353CC}">
              <c16:uniqueId val="{00000003-9CBF-4963-B3CC-9DA106E4E0E2}"/>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Bulgaria!$A$10:$A$30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Bulgaria!$C$10:$C$30</c:f>
              <c:numCache>
                <c:formatCode>0.0</c:formatCode>
                <c:ptCount val="21"/>
                <c:pt idx="0">
                  <c:v>3.0898246428720411</c:v>
                </c:pt>
                <c:pt idx="1">
                  <c:v>2.1998694750424463</c:v>
                </c:pt>
                <c:pt idx="2">
                  <c:v>3.6900242304620914</c:v>
                </c:pt>
                <c:pt idx="3">
                  <c:v>6.1818628805515168</c:v>
                </c:pt>
                <c:pt idx="4">
                  <c:v>3.41581812067724</c:v>
                </c:pt>
                <c:pt idx="5">
                  <c:v>5.5831379249909912</c:v>
                </c:pt>
                <c:pt idx="6">
                  <c:v>0.31924106295675125</c:v>
                </c:pt>
                <c:pt idx="7">
                  <c:v>-2.6422961781459868</c:v>
                </c:pt>
                <c:pt idx="8">
                  <c:v>2.756005017601554</c:v>
                </c:pt>
                <c:pt idx="9">
                  <c:v>3.1718318641565197</c:v>
                </c:pt>
                <c:pt idx="10">
                  <c:v>1.569837625160077</c:v>
                </c:pt>
                <c:pt idx="11">
                  <c:v>-1.4904176185546163</c:v>
                </c:pt>
                <c:pt idx="12">
                  <c:v>0.68442694938417958</c:v>
                </c:pt>
                <c:pt idx="13">
                  <c:v>2.5641081710747859</c:v>
                </c:pt>
                <c:pt idx="14">
                  <c:v>2.3137565307024319</c:v>
                </c:pt>
                <c:pt idx="15">
                  <c:v>2.1432028764131981</c:v>
                </c:pt>
                <c:pt idx="16">
                  <c:v>3.1945016698832056</c:v>
                </c:pt>
                <c:pt idx="17">
                  <c:v>4.1587968876958321</c:v>
                </c:pt>
                <c:pt idx="18">
                  <c:v>0.37066838573243543</c:v>
                </c:pt>
                <c:pt idx="19">
                  <c:v>9.8879012532409583</c:v>
                </c:pt>
                <c:pt idx="20">
                  <c:v>4.7194795955190658</c:v>
                </c:pt>
              </c:numCache>
            </c:numRef>
          </c:val>
          <c:smooth val="0"/>
          <c:extLst>
            <c:ext xmlns:c16="http://schemas.microsoft.com/office/drawing/2014/chart" uri="{C3380CC4-5D6E-409C-BE32-E72D297353CC}">
              <c16:uniqueId val="{00000001-C0F5-45D4-ABAE-A852D8118300}"/>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C0F5-45D4-ABAE-A852D8118300}"/>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6181162015028856"/>
          <c:w val="0.40713581273096927"/>
          <c:h val="0.13818837984971138"/>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Bulgaria!$A$10:$A$30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Bulgaria!$E$10:$E$30</c:f>
              <c:numCache>
                <c:formatCode>0.0</c:formatCode>
                <c:ptCount val="21"/>
                <c:pt idx="0">
                  <c:v>0.10418202988121522</c:v>
                </c:pt>
                <c:pt idx="1">
                  <c:v>1.2066719791825282</c:v>
                </c:pt>
                <c:pt idx="2">
                  <c:v>2.1320311116431165</c:v>
                </c:pt>
                <c:pt idx="3">
                  <c:v>1.2665462536277703</c:v>
                </c:pt>
                <c:pt idx="4">
                  <c:v>1.5941319775721425</c:v>
                </c:pt>
                <c:pt idx="5">
                  <c:v>1.6264016152199943</c:v>
                </c:pt>
                <c:pt idx="6">
                  <c:v>2.4306355896987819</c:v>
                </c:pt>
                <c:pt idx="7">
                  <c:v>-2.4660578635495396</c:v>
                </c:pt>
                <c:pt idx="8">
                  <c:v>-2.2513650493437614</c:v>
                </c:pt>
                <c:pt idx="9">
                  <c:v>-1.276129553314868</c:v>
                </c:pt>
                <c:pt idx="10">
                  <c:v>-1.3738015760793127</c:v>
                </c:pt>
                <c:pt idx="11">
                  <c:v>-0.23617284019740115</c:v>
                </c:pt>
                <c:pt idx="12">
                  <c:v>0.19542510842622107</c:v>
                </c:pt>
                <c:pt idx="13">
                  <c:v>0.23560540400563401</c:v>
                </c:pt>
                <c:pt idx="14">
                  <c:v>0.28399154586109676</c:v>
                </c:pt>
                <c:pt idx="15">
                  <c:v>1.1476265713661959</c:v>
                </c:pt>
                <c:pt idx="16">
                  <c:v>-1.710880875413175E-2</c:v>
                </c:pt>
                <c:pt idx="17">
                  <c:v>-0.92306187934597661</c:v>
                </c:pt>
                <c:pt idx="18">
                  <c:v>-2.7706788953479742</c:v>
                </c:pt>
                <c:pt idx="19">
                  <c:v>0.52338244035453918</c:v>
                </c:pt>
                <c:pt idx="20">
                  <c:v>0.59925839652177637</c:v>
                </c:pt>
              </c:numCache>
            </c:numRef>
          </c:val>
          <c:extLst>
            <c:ext xmlns:c16="http://schemas.microsoft.com/office/drawing/2014/chart" uri="{C3380CC4-5D6E-409C-BE32-E72D297353CC}">
              <c16:uniqueId val="{00000000-B7D5-43FE-B157-67986894FACA}"/>
            </c:ext>
          </c:extLst>
        </c:ser>
        <c:ser>
          <c:idx val="3"/>
          <c:order val="2"/>
          <c:tx>
            <c:v>Capital stock</c:v>
          </c:tx>
          <c:spPr>
            <a:solidFill>
              <a:srgbClr val="1E88E5"/>
            </a:solidFill>
            <a:ln>
              <a:noFill/>
            </a:ln>
            <a:effectLst/>
          </c:spPr>
          <c:invertIfNegative val="0"/>
          <c:cat>
            <c:numRef>
              <c:f>Bulgaria!$A$10:$A$30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Bulgaria!$F$10:$F$30</c:f>
              <c:numCache>
                <c:formatCode>0.0</c:formatCode>
                <c:ptCount val="21"/>
                <c:pt idx="0">
                  <c:v>4.1302579666748231</c:v>
                </c:pt>
                <c:pt idx="1">
                  <c:v>0.66475956657236102</c:v>
                </c:pt>
                <c:pt idx="2">
                  <c:v>-1.0600956544977216</c:v>
                </c:pt>
                <c:pt idx="3">
                  <c:v>-1.1928555680988573</c:v>
                </c:pt>
                <c:pt idx="4">
                  <c:v>1.8907193862826914</c:v>
                </c:pt>
                <c:pt idx="5">
                  <c:v>-0.86660979085518852</c:v>
                </c:pt>
                <c:pt idx="6">
                  <c:v>3.2198115430493144</c:v>
                </c:pt>
                <c:pt idx="7">
                  <c:v>4.2460371592113111</c:v>
                </c:pt>
                <c:pt idx="8">
                  <c:v>1.3086718260272843</c:v>
                </c:pt>
                <c:pt idx="9">
                  <c:v>-1.2892584677681984E-2</c:v>
                </c:pt>
                <c:pt idx="10">
                  <c:v>5.6581079312653285E-2</c:v>
                </c:pt>
                <c:pt idx="11">
                  <c:v>6.4946374962690984E-2</c:v>
                </c:pt>
                <c:pt idx="12">
                  <c:v>7.7021625279963965E-2</c:v>
                </c:pt>
                <c:pt idx="13">
                  <c:v>0.10084676319295247</c:v>
                </c:pt>
                <c:pt idx="14">
                  <c:v>-5.3469696617265278E-2</c:v>
                </c:pt>
                <c:pt idx="15">
                  <c:v>-6.2448017385981679E-2</c:v>
                </c:pt>
                <c:pt idx="16">
                  <c:v>9.0702370959545128E-2</c:v>
                </c:pt>
                <c:pt idx="17">
                  <c:v>0.14294330992406384</c:v>
                </c:pt>
                <c:pt idx="18">
                  <c:v>-0.78244059594125515</c:v>
                </c:pt>
                <c:pt idx="19">
                  <c:v>-2.5894531009634569</c:v>
                </c:pt>
                <c:pt idx="20">
                  <c:v>-2.9763029739375151E-4</c:v>
                </c:pt>
              </c:numCache>
            </c:numRef>
          </c:val>
          <c:extLst>
            <c:ext xmlns:c16="http://schemas.microsoft.com/office/drawing/2014/chart" uri="{C3380CC4-5D6E-409C-BE32-E72D297353CC}">
              <c16:uniqueId val="{00000001-B7D5-43FE-B157-67986894FACA}"/>
            </c:ext>
          </c:extLst>
        </c:ser>
        <c:ser>
          <c:idx val="0"/>
          <c:order val="3"/>
          <c:tx>
            <c:v>MFP</c:v>
          </c:tx>
          <c:spPr>
            <a:solidFill>
              <a:srgbClr val="D81B22"/>
            </a:solidFill>
            <a:ln>
              <a:noFill/>
            </a:ln>
            <a:effectLst/>
          </c:spPr>
          <c:invertIfNegative val="0"/>
          <c:cat>
            <c:numRef>
              <c:f>Bulgaria!$A$10:$A$30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Bulgaria!$C$10:$C$30</c:f>
              <c:numCache>
                <c:formatCode>0.0</c:formatCode>
                <c:ptCount val="21"/>
                <c:pt idx="0">
                  <c:v>3.0898246428720411</c:v>
                </c:pt>
                <c:pt idx="1">
                  <c:v>2.1998694750424463</c:v>
                </c:pt>
                <c:pt idx="2">
                  <c:v>3.6900242304620914</c:v>
                </c:pt>
                <c:pt idx="3">
                  <c:v>6.1818628805515168</c:v>
                </c:pt>
                <c:pt idx="4">
                  <c:v>3.41581812067724</c:v>
                </c:pt>
                <c:pt idx="5">
                  <c:v>5.5831379249909912</c:v>
                </c:pt>
                <c:pt idx="6">
                  <c:v>0.31924106295675125</c:v>
                </c:pt>
                <c:pt idx="7">
                  <c:v>-2.6422961781459868</c:v>
                </c:pt>
                <c:pt idx="8">
                  <c:v>2.756005017601554</c:v>
                </c:pt>
                <c:pt idx="9">
                  <c:v>3.1718318641565197</c:v>
                </c:pt>
                <c:pt idx="10">
                  <c:v>1.569837625160077</c:v>
                </c:pt>
                <c:pt idx="11">
                  <c:v>-1.4904176185546163</c:v>
                </c:pt>
                <c:pt idx="12">
                  <c:v>0.68442694938417958</c:v>
                </c:pt>
                <c:pt idx="13">
                  <c:v>2.5641081710747859</c:v>
                </c:pt>
                <c:pt idx="14">
                  <c:v>2.3137565307024319</c:v>
                </c:pt>
                <c:pt idx="15">
                  <c:v>2.1432028764131981</c:v>
                </c:pt>
                <c:pt idx="16">
                  <c:v>3.1945016698832056</c:v>
                </c:pt>
                <c:pt idx="17">
                  <c:v>4.1587968876958321</c:v>
                </c:pt>
                <c:pt idx="18">
                  <c:v>0.37066838573243543</c:v>
                </c:pt>
                <c:pt idx="19">
                  <c:v>9.8879012532409583</c:v>
                </c:pt>
                <c:pt idx="20">
                  <c:v>4.7194795955190658</c:v>
                </c:pt>
              </c:numCache>
            </c:numRef>
          </c:val>
          <c:extLst>
            <c:ext xmlns:c16="http://schemas.microsoft.com/office/drawing/2014/chart" uri="{C3380CC4-5D6E-409C-BE32-E72D297353CC}">
              <c16:uniqueId val="{00000002-B7D5-43FE-B157-67986894FACA}"/>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Bulgaria!$D$10:$D$30</c:f>
              <c:numCache>
                <c:formatCode>0.0</c:formatCode>
                <c:ptCount val="21"/>
                <c:pt idx="0">
                  <c:v>7.3242646394280797</c:v>
                </c:pt>
                <c:pt idx="1">
                  <c:v>4.0713010207973355</c:v>
                </c:pt>
                <c:pt idx="2">
                  <c:v>4.7619596876074866</c:v>
                </c:pt>
                <c:pt idx="3">
                  <c:v>6.2555535660804296</c:v>
                </c:pt>
                <c:pt idx="4">
                  <c:v>6.9006694845320737</c:v>
                </c:pt>
                <c:pt idx="5">
                  <c:v>6.3429297493557968</c:v>
                </c:pt>
                <c:pt idx="6">
                  <c:v>5.9696881957048475</c:v>
                </c:pt>
                <c:pt idx="7">
                  <c:v>-0.86231688248421534</c:v>
                </c:pt>
                <c:pt idx="8">
                  <c:v>1.8133117942850774</c:v>
                </c:pt>
                <c:pt idx="9">
                  <c:v>1.8828097261639698</c:v>
                </c:pt>
                <c:pt idx="10">
                  <c:v>0.25261712839341754</c:v>
                </c:pt>
                <c:pt idx="11">
                  <c:v>-1.6616440837893265</c:v>
                </c:pt>
                <c:pt idx="12">
                  <c:v>0.95687368309036458</c:v>
                </c:pt>
                <c:pt idx="13">
                  <c:v>2.9005603382733725</c:v>
                </c:pt>
                <c:pt idx="14">
                  <c:v>2.5442783799462632</c:v>
                </c:pt>
                <c:pt idx="15">
                  <c:v>3.2283814303934122</c:v>
                </c:pt>
                <c:pt idx="16">
                  <c:v>3.2680952320886192</c:v>
                </c:pt>
                <c:pt idx="17">
                  <c:v>3.37867831827392</c:v>
                </c:pt>
                <c:pt idx="18">
                  <c:v>-3.1824511055567939</c:v>
                </c:pt>
                <c:pt idx="19">
                  <c:v>7.8218305926320397</c:v>
                </c:pt>
                <c:pt idx="20">
                  <c:v>5.3184403617434484</c:v>
                </c:pt>
              </c:numCache>
            </c:numRef>
          </c:val>
          <c:smooth val="0"/>
          <c:extLst>
            <c:ext xmlns:c16="http://schemas.microsoft.com/office/drawing/2014/chart" uri="{C3380CC4-5D6E-409C-BE32-E72D297353CC}">
              <c16:uniqueId val="{00000003-B7D5-43FE-B157-67986894FACA}"/>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Czechia!$A$10:$A$30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Czechia!$C$10:$C$30</c:f>
              <c:numCache>
                <c:formatCode>0.0</c:formatCode>
                <c:ptCount val="21"/>
                <c:pt idx="0">
                  <c:v>1.1227689814359947</c:v>
                </c:pt>
                <c:pt idx="1">
                  <c:v>2.3880259865334108</c:v>
                </c:pt>
                <c:pt idx="2">
                  <c:v>3.3326792354423396</c:v>
                </c:pt>
                <c:pt idx="3">
                  <c:v>4.4967723084631297</c:v>
                </c:pt>
                <c:pt idx="4">
                  <c:v>5.4178377257980088</c:v>
                </c:pt>
                <c:pt idx="5">
                  <c:v>3.141425370547986</c:v>
                </c:pt>
                <c:pt idx="6">
                  <c:v>0.54885120253758402</c:v>
                </c:pt>
                <c:pt idx="7">
                  <c:v>-5.1571983725653583</c:v>
                </c:pt>
                <c:pt idx="8">
                  <c:v>2.3875368417050629</c:v>
                </c:pt>
                <c:pt idx="9">
                  <c:v>0.96389966429726259</c:v>
                </c:pt>
                <c:pt idx="10">
                  <c:v>-1.0165107648431602</c:v>
                </c:pt>
                <c:pt idx="11">
                  <c:v>-0.56823433023929837</c:v>
                </c:pt>
                <c:pt idx="12">
                  <c:v>1.3521768695091283</c:v>
                </c:pt>
                <c:pt idx="13">
                  <c:v>3.2742530327345403</c:v>
                </c:pt>
                <c:pt idx="14">
                  <c:v>0.73721870129702927</c:v>
                </c:pt>
                <c:pt idx="15">
                  <c:v>3.6725696367717786</c:v>
                </c:pt>
                <c:pt idx="16">
                  <c:v>1.1134694286279876</c:v>
                </c:pt>
                <c:pt idx="17">
                  <c:v>2.4603299304120041</c:v>
                </c:pt>
                <c:pt idx="18">
                  <c:v>-0.96115979891211245</c:v>
                </c:pt>
                <c:pt idx="19">
                  <c:v>0.87647506912048123</c:v>
                </c:pt>
                <c:pt idx="20">
                  <c:v>-0.44352789280012461</c:v>
                </c:pt>
              </c:numCache>
            </c:numRef>
          </c:val>
          <c:smooth val="0"/>
          <c:extLst>
            <c:ext xmlns:c16="http://schemas.microsoft.com/office/drawing/2014/chart" uri="{C3380CC4-5D6E-409C-BE32-E72D297353CC}">
              <c16:uniqueId val="{00000001-9F8A-464C-BA74-E0CB8473D01A}"/>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9F8A-464C-BA74-E0CB8473D01A}"/>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9202010996183045"/>
          <c:w val="0.36861940759544859"/>
          <c:h val="0.10797989003816955"/>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Czechia!$A$10:$A$30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Czechia!$E$10:$E$30</c:f>
              <c:numCache>
                <c:formatCode>0.0</c:formatCode>
                <c:ptCount val="21"/>
                <c:pt idx="0">
                  <c:v>1.3826235219738161E-2</c:v>
                </c:pt>
                <c:pt idx="1">
                  <c:v>-0.85377951576457334</c:v>
                </c:pt>
                <c:pt idx="2">
                  <c:v>0.34240944323507833</c:v>
                </c:pt>
                <c:pt idx="3">
                  <c:v>0.73716973585723478</c:v>
                </c:pt>
                <c:pt idx="4">
                  <c:v>0.3222103794049162</c:v>
                </c:pt>
                <c:pt idx="5">
                  <c:v>0.6914175825048644</c:v>
                </c:pt>
                <c:pt idx="6">
                  <c:v>1.6412415430028453</c:v>
                </c:pt>
                <c:pt idx="7">
                  <c:v>-1.3200397336120209</c:v>
                </c:pt>
                <c:pt idx="8">
                  <c:v>2.723735022557695E-2</c:v>
                </c:pt>
                <c:pt idx="9">
                  <c:v>-9.5389918058260831E-2</c:v>
                </c:pt>
                <c:pt idx="10">
                  <c:v>-0.65952300519046436</c:v>
                </c:pt>
                <c:pt idx="11">
                  <c:v>-0.21220858518556715</c:v>
                </c:pt>
                <c:pt idx="12">
                  <c:v>0.62336067569583375</c:v>
                </c:pt>
                <c:pt idx="13">
                  <c:v>7.0336569024430265E-2</c:v>
                </c:pt>
                <c:pt idx="14">
                  <c:v>1.2850896474923168</c:v>
                </c:pt>
                <c:pt idx="15">
                  <c:v>0.81121142539616542</c:v>
                </c:pt>
                <c:pt idx="16">
                  <c:v>0.90699395500590585</c:v>
                </c:pt>
                <c:pt idx="17">
                  <c:v>-9.6877978156979253E-2</c:v>
                </c:pt>
                <c:pt idx="18">
                  <c:v>-5.0719774759161202</c:v>
                </c:pt>
                <c:pt idx="19">
                  <c:v>2.258443877322192</c:v>
                </c:pt>
                <c:pt idx="20">
                  <c:v>2.4844429958376848</c:v>
                </c:pt>
              </c:numCache>
            </c:numRef>
          </c:val>
          <c:extLst>
            <c:ext xmlns:c16="http://schemas.microsoft.com/office/drawing/2014/chart" uri="{C3380CC4-5D6E-409C-BE32-E72D297353CC}">
              <c16:uniqueId val="{00000000-E5CC-4154-99AF-5343A67319A9}"/>
            </c:ext>
          </c:extLst>
        </c:ser>
        <c:ser>
          <c:idx val="3"/>
          <c:order val="2"/>
          <c:tx>
            <c:v>Capital stock</c:v>
          </c:tx>
          <c:spPr>
            <a:solidFill>
              <a:srgbClr val="1E88E5"/>
            </a:solidFill>
            <a:ln>
              <a:noFill/>
            </a:ln>
            <a:effectLst/>
          </c:spPr>
          <c:invertIfNegative val="0"/>
          <c:cat>
            <c:numRef>
              <c:f>Czechia!$A$10:$A$30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Czechia!$F$10:$F$30</c:f>
              <c:numCache>
                <c:formatCode>0.0</c:formatCode>
                <c:ptCount val="21"/>
                <c:pt idx="0">
                  <c:v>0.80237162860606959</c:v>
                </c:pt>
                <c:pt idx="1">
                  <c:v>1.099768591589926</c:v>
                </c:pt>
                <c:pt idx="2">
                  <c:v>0.98368434856929232</c:v>
                </c:pt>
                <c:pt idx="3">
                  <c:v>1.0920712839173143</c:v>
                </c:pt>
                <c:pt idx="4">
                  <c:v>1.1374839462498136</c:v>
                </c:pt>
                <c:pt idx="5">
                  <c:v>1.234547084086113</c:v>
                </c:pt>
                <c:pt idx="6">
                  <c:v>1.2426231172059978</c:v>
                </c:pt>
                <c:pt idx="7">
                  <c:v>0.88624734260918514</c:v>
                </c:pt>
                <c:pt idx="8">
                  <c:v>0.84390888611409298</c:v>
                </c:pt>
                <c:pt idx="9">
                  <c:v>0.88520469536650115</c:v>
                </c:pt>
                <c:pt idx="10">
                  <c:v>0.85062344350403918</c:v>
                </c:pt>
                <c:pt idx="11">
                  <c:v>0.76879534700701591</c:v>
                </c:pt>
                <c:pt idx="12">
                  <c:v>0.81897115797977726</c:v>
                </c:pt>
                <c:pt idx="13">
                  <c:v>0.91339735066619265</c:v>
                </c:pt>
                <c:pt idx="14">
                  <c:v>0.49204476705694461</c:v>
                </c:pt>
                <c:pt idx="15">
                  <c:v>0.59164492508560163</c:v>
                </c:pt>
                <c:pt idx="16">
                  <c:v>0.90834284196545179</c:v>
                </c:pt>
                <c:pt idx="17">
                  <c:v>1.1728376462296182</c:v>
                </c:pt>
                <c:pt idx="18">
                  <c:v>0.85040244766083151</c:v>
                </c:pt>
                <c:pt idx="19">
                  <c:v>0.71917244511398448</c:v>
                </c:pt>
                <c:pt idx="20">
                  <c:v>0.8213049971909806</c:v>
                </c:pt>
              </c:numCache>
            </c:numRef>
          </c:val>
          <c:extLst>
            <c:ext xmlns:c16="http://schemas.microsoft.com/office/drawing/2014/chart" uri="{C3380CC4-5D6E-409C-BE32-E72D297353CC}">
              <c16:uniqueId val="{00000001-E5CC-4154-99AF-5343A67319A9}"/>
            </c:ext>
          </c:extLst>
        </c:ser>
        <c:ser>
          <c:idx val="0"/>
          <c:order val="3"/>
          <c:tx>
            <c:v>MFP</c:v>
          </c:tx>
          <c:spPr>
            <a:solidFill>
              <a:srgbClr val="D81B22"/>
            </a:solidFill>
            <a:ln>
              <a:noFill/>
            </a:ln>
            <a:effectLst/>
          </c:spPr>
          <c:invertIfNegative val="0"/>
          <c:cat>
            <c:numRef>
              <c:f>Czechia!$A$10:$A$30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Czechia!$C$10:$C$30</c:f>
              <c:numCache>
                <c:formatCode>0.0</c:formatCode>
                <c:ptCount val="21"/>
                <c:pt idx="0">
                  <c:v>1.1227689814359947</c:v>
                </c:pt>
                <c:pt idx="1">
                  <c:v>2.3880259865334108</c:v>
                </c:pt>
                <c:pt idx="2">
                  <c:v>3.3326792354423396</c:v>
                </c:pt>
                <c:pt idx="3">
                  <c:v>4.4967723084631297</c:v>
                </c:pt>
                <c:pt idx="4">
                  <c:v>5.4178377257980088</c:v>
                </c:pt>
                <c:pt idx="5">
                  <c:v>3.141425370547986</c:v>
                </c:pt>
                <c:pt idx="6">
                  <c:v>0.54885120253758402</c:v>
                </c:pt>
                <c:pt idx="7">
                  <c:v>-5.1571983725653583</c:v>
                </c:pt>
                <c:pt idx="8">
                  <c:v>2.3875368417050629</c:v>
                </c:pt>
                <c:pt idx="9">
                  <c:v>0.96389966429726259</c:v>
                </c:pt>
                <c:pt idx="10">
                  <c:v>-1.0165107648431602</c:v>
                </c:pt>
                <c:pt idx="11">
                  <c:v>-0.56823433023929837</c:v>
                </c:pt>
                <c:pt idx="12">
                  <c:v>1.3521768695091283</c:v>
                </c:pt>
                <c:pt idx="13">
                  <c:v>3.2742530327345403</c:v>
                </c:pt>
                <c:pt idx="14">
                  <c:v>0.73721870129702927</c:v>
                </c:pt>
                <c:pt idx="15">
                  <c:v>3.6725696367717786</c:v>
                </c:pt>
                <c:pt idx="16">
                  <c:v>1.1134694286279876</c:v>
                </c:pt>
                <c:pt idx="17">
                  <c:v>2.4603299304120041</c:v>
                </c:pt>
                <c:pt idx="18">
                  <c:v>-0.96115979891211245</c:v>
                </c:pt>
                <c:pt idx="19">
                  <c:v>0.87647506912048123</c:v>
                </c:pt>
                <c:pt idx="20">
                  <c:v>-0.44352789280012461</c:v>
                </c:pt>
              </c:numCache>
            </c:numRef>
          </c:val>
          <c:extLst>
            <c:ext xmlns:c16="http://schemas.microsoft.com/office/drawing/2014/chart" uri="{C3380CC4-5D6E-409C-BE32-E72D297353CC}">
              <c16:uniqueId val="{00000002-E5CC-4154-99AF-5343A67319A9}"/>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Czechia!$D$10:$D$30</c:f>
              <c:numCache>
                <c:formatCode>0.0</c:formatCode>
                <c:ptCount val="21"/>
                <c:pt idx="0">
                  <c:v>1.9389668452618025</c:v>
                </c:pt>
                <c:pt idx="1">
                  <c:v>2.6340150623587633</c:v>
                </c:pt>
                <c:pt idx="2">
                  <c:v>4.6587730272467098</c:v>
                </c:pt>
                <c:pt idx="3">
                  <c:v>6.3260133282376785</c:v>
                </c:pt>
                <c:pt idx="4">
                  <c:v>6.8775320514527394</c:v>
                </c:pt>
                <c:pt idx="5">
                  <c:v>5.0673900371389635</c:v>
                </c:pt>
                <c:pt idx="6">
                  <c:v>3.4327158627464271</c:v>
                </c:pt>
                <c:pt idx="7">
                  <c:v>-5.5909907635681932</c:v>
                </c:pt>
                <c:pt idx="8">
                  <c:v>3.2586830780447329</c:v>
                </c:pt>
                <c:pt idx="9">
                  <c:v>1.7537144416055028</c:v>
                </c:pt>
                <c:pt idx="10">
                  <c:v>-0.82541032652958535</c:v>
                </c:pt>
                <c:pt idx="11">
                  <c:v>-1.1647568417849641E-2</c:v>
                </c:pt>
                <c:pt idx="12">
                  <c:v>2.7945087031847393</c:v>
                </c:pt>
                <c:pt idx="13">
                  <c:v>4.2579869524251635</c:v>
                </c:pt>
                <c:pt idx="14">
                  <c:v>2.5143531158462906</c:v>
                </c:pt>
                <c:pt idx="15">
                  <c:v>5.0754259872535457</c:v>
                </c:pt>
                <c:pt idx="16">
                  <c:v>2.9288062255993452</c:v>
                </c:pt>
                <c:pt idx="17">
                  <c:v>3.5362895984846432</c:v>
                </c:pt>
                <c:pt idx="18">
                  <c:v>-5.1827348271674012</c:v>
                </c:pt>
                <c:pt idx="19">
                  <c:v>3.8540913915566577</c:v>
                </c:pt>
                <c:pt idx="20">
                  <c:v>2.8622201002285408</c:v>
                </c:pt>
              </c:numCache>
            </c:numRef>
          </c:val>
          <c:smooth val="0"/>
          <c:extLst>
            <c:ext xmlns:c16="http://schemas.microsoft.com/office/drawing/2014/chart" uri="{C3380CC4-5D6E-409C-BE32-E72D297353CC}">
              <c16:uniqueId val="{00000003-E5CC-4154-99AF-5343A67319A9}"/>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Denmark!$A$10:$A$30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Denmark!$C$10:$C$30</c:f>
              <c:numCache>
                <c:formatCode>0.0</c:formatCode>
                <c:ptCount val="21"/>
                <c:pt idx="0">
                  <c:v>0.14862306715206042</c:v>
                </c:pt>
                <c:pt idx="1">
                  <c:v>0.91122891739273615</c:v>
                </c:pt>
                <c:pt idx="2">
                  <c:v>2.025415115425357</c:v>
                </c:pt>
                <c:pt idx="3">
                  <c:v>0.52847043429959872</c:v>
                </c:pt>
                <c:pt idx="4">
                  <c:v>1.2534923832797249</c:v>
                </c:pt>
                <c:pt idx="5">
                  <c:v>-0.55349082508988068</c:v>
                </c:pt>
                <c:pt idx="6">
                  <c:v>-1.0172525122651126</c:v>
                </c:pt>
                <c:pt idx="7">
                  <c:v>-2.1057534468450663</c:v>
                </c:pt>
                <c:pt idx="8">
                  <c:v>2.7884496794134237</c:v>
                </c:pt>
                <c:pt idx="9">
                  <c:v>0.79557164750772014</c:v>
                </c:pt>
                <c:pt idx="10">
                  <c:v>0.94132086007707272</c:v>
                </c:pt>
                <c:pt idx="11">
                  <c:v>1.1111486263306669</c:v>
                </c:pt>
                <c:pt idx="12">
                  <c:v>0.96746743601959495</c:v>
                </c:pt>
                <c:pt idx="13">
                  <c:v>0.95088732465642356</c:v>
                </c:pt>
                <c:pt idx="14">
                  <c:v>1.158954372481374</c:v>
                </c:pt>
                <c:pt idx="15">
                  <c:v>2.0025810629771423</c:v>
                </c:pt>
                <c:pt idx="16">
                  <c:v>1.0331145425891151</c:v>
                </c:pt>
                <c:pt idx="17">
                  <c:v>0.66806397937699979</c:v>
                </c:pt>
                <c:pt idx="18">
                  <c:v>-0.71713166303925391</c:v>
                </c:pt>
                <c:pt idx="19">
                  <c:v>1.9766615016345508</c:v>
                </c:pt>
                <c:pt idx="20">
                  <c:v>-4.7478594774171059</c:v>
                </c:pt>
              </c:numCache>
            </c:numRef>
          </c:val>
          <c:smooth val="0"/>
          <c:extLst>
            <c:ext xmlns:c16="http://schemas.microsoft.com/office/drawing/2014/chart" uri="{C3380CC4-5D6E-409C-BE32-E72D297353CC}">
              <c16:uniqueId val="{00000001-5EF4-4827-A554-462A38444516}"/>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5EF4-4827-A554-462A38444516}"/>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8969637997632722"/>
          <c:w val="0.4456522178664899"/>
          <c:h val="0.11030362002367278"/>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Denmark!$A$10:$A$30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Denmark!$E$10:$E$30</c:f>
              <c:numCache>
                <c:formatCode>0.0</c:formatCode>
                <c:ptCount val="21"/>
                <c:pt idx="0">
                  <c:v>-0.23313429090874524</c:v>
                </c:pt>
                <c:pt idx="1">
                  <c:v>-0.83050356996906616</c:v>
                </c:pt>
                <c:pt idx="2">
                  <c:v>-0.3369911608577677</c:v>
                </c:pt>
                <c:pt idx="3">
                  <c:v>0.62138615273702724</c:v>
                </c:pt>
                <c:pt idx="4">
                  <c:v>1.6516032299868555</c:v>
                </c:pt>
                <c:pt idx="5">
                  <c:v>0.47597127459389993</c:v>
                </c:pt>
                <c:pt idx="6">
                  <c:v>0.6995883012509988</c:v>
                </c:pt>
                <c:pt idx="7">
                  <c:v>-2.7873247066182971</c:v>
                </c:pt>
                <c:pt idx="8">
                  <c:v>-1.3351281528213226</c:v>
                </c:pt>
                <c:pt idx="9">
                  <c:v>0.5966023086419201</c:v>
                </c:pt>
                <c:pt idx="10">
                  <c:v>-1.0809355202752235</c:v>
                </c:pt>
                <c:pt idx="11">
                  <c:v>0.13826287680539764</c:v>
                </c:pt>
                <c:pt idx="12">
                  <c:v>-0.1319692217050602</c:v>
                </c:pt>
                <c:pt idx="13">
                  <c:v>0.63181568365050544</c:v>
                </c:pt>
                <c:pt idx="14">
                  <c:v>1.2826367730418138</c:v>
                </c:pt>
                <c:pt idx="15">
                  <c:v>0.59338905785569984</c:v>
                </c:pt>
                <c:pt idx="16">
                  <c:v>-8.6631217817537312E-2</c:v>
                </c:pt>
                <c:pt idx="17">
                  <c:v>0.5185432407874272</c:v>
                </c:pt>
                <c:pt idx="18">
                  <c:v>-2.2150039297436015</c:v>
                </c:pt>
                <c:pt idx="19">
                  <c:v>3.6400357956051685</c:v>
                </c:pt>
                <c:pt idx="20">
                  <c:v>2.2508710939901655</c:v>
                </c:pt>
              </c:numCache>
            </c:numRef>
          </c:val>
          <c:extLst>
            <c:ext xmlns:c16="http://schemas.microsoft.com/office/drawing/2014/chart" uri="{C3380CC4-5D6E-409C-BE32-E72D297353CC}">
              <c16:uniqueId val="{00000000-B0E4-48F1-8887-FCC5A1EEE9F3}"/>
            </c:ext>
          </c:extLst>
        </c:ser>
        <c:ser>
          <c:idx val="3"/>
          <c:order val="2"/>
          <c:tx>
            <c:v>Capital stock</c:v>
          </c:tx>
          <c:spPr>
            <a:solidFill>
              <a:srgbClr val="1E88E5"/>
            </a:solidFill>
            <a:ln>
              <a:noFill/>
            </a:ln>
            <a:effectLst/>
          </c:spPr>
          <c:invertIfNegative val="0"/>
          <c:cat>
            <c:numRef>
              <c:f>Denmark!$A$10:$A$30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Denmark!$F$10:$F$30</c:f>
              <c:numCache>
                <c:formatCode>0.0</c:formatCode>
                <c:ptCount val="21"/>
                <c:pt idx="0">
                  <c:v>0.39163053041485052</c:v>
                </c:pt>
                <c:pt idx="1">
                  <c:v>0.36814190295602195</c:v>
                </c:pt>
                <c:pt idx="2">
                  <c:v>0.37800546411998703</c:v>
                </c:pt>
                <c:pt idx="3">
                  <c:v>0.48755464559925099</c:v>
                </c:pt>
                <c:pt idx="4">
                  <c:v>0.77178660789719944</c:v>
                </c:pt>
                <c:pt idx="5">
                  <c:v>0.68052044837730352</c:v>
                </c:pt>
                <c:pt idx="6">
                  <c:v>0.49617240340202995</c:v>
                </c:pt>
                <c:pt idx="7">
                  <c:v>0.23261961358283356</c:v>
                </c:pt>
                <c:pt idx="8">
                  <c:v>5.0740739824005392E-2</c:v>
                </c:pt>
                <c:pt idx="9">
                  <c:v>5.2136197454715393E-2</c:v>
                </c:pt>
                <c:pt idx="10">
                  <c:v>0.13760395219520893</c:v>
                </c:pt>
                <c:pt idx="11">
                  <c:v>0.18053103798010461</c:v>
                </c:pt>
                <c:pt idx="12">
                  <c:v>0.28965659263427912</c:v>
                </c:pt>
                <c:pt idx="13">
                  <c:v>0.35247449508436524</c:v>
                </c:pt>
                <c:pt idx="14">
                  <c:v>0.49539058943401254</c:v>
                </c:pt>
                <c:pt idx="15">
                  <c:v>0.56554290513718841</c:v>
                </c:pt>
                <c:pt idx="16">
                  <c:v>0.60263411402308931</c:v>
                </c:pt>
                <c:pt idx="17">
                  <c:v>0.48147267110792913</c:v>
                </c:pt>
                <c:pt idx="18">
                  <c:v>0.53519150746495736</c:v>
                </c:pt>
                <c:pt idx="19">
                  <c:v>0.95585090037582698</c:v>
                </c:pt>
                <c:pt idx="20">
                  <c:v>3.858204375786928</c:v>
                </c:pt>
              </c:numCache>
            </c:numRef>
          </c:val>
          <c:extLst>
            <c:ext xmlns:c16="http://schemas.microsoft.com/office/drawing/2014/chart" uri="{C3380CC4-5D6E-409C-BE32-E72D297353CC}">
              <c16:uniqueId val="{00000001-B0E4-48F1-8887-FCC5A1EEE9F3}"/>
            </c:ext>
          </c:extLst>
        </c:ser>
        <c:ser>
          <c:idx val="0"/>
          <c:order val="3"/>
          <c:tx>
            <c:v>MFP</c:v>
          </c:tx>
          <c:spPr>
            <a:solidFill>
              <a:srgbClr val="D81B22"/>
            </a:solidFill>
            <a:ln>
              <a:noFill/>
            </a:ln>
            <a:effectLst/>
          </c:spPr>
          <c:invertIfNegative val="0"/>
          <c:cat>
            <c:numRef>
              <c:f>Denmark!$A$10:$A$30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Denmark!$C$10:$C$30</c:f>
              <c:numCache>
                <c:formatCode>0.0</c:formatCode>
                <c:ptCount val="21"/>
                <c:pt idx="0">
                  <c:v>0.14862306715206042</c:v>
                </c:pt>
                <c:pt idx="1">
                  <c:v>0.91122891739273615</c:v>
                </c:pt>
                <c:pt idx="2">
                  <c:v>2.025415115425357</c:v>
                </c:pt>
                <c:pt idx="3">
                  <c:v>0.52847043429959872</c:v>
                </c:pt>
                <c:pt idx="4">
                  <c:v>1.2534923832797249</c:v>
                </c:pt>
                <c:pt idx="5">
                  <c:v>-0.55349082508988068</c:v>
                </c:pt>
                <c:pt idx="6">
                  <c:v>-1.0172525122651126</c:v>
                </c:pt>
                <c:pt idx="7">
                  <c:v>-2.1057534468450663</c:v>
                </c:pt>
                <c:pt idx="8">
                  <c:v>2.7884496794134237</c:v>
                </c:pt>
                <c:pt idx="9">
                  <c:v>0.79557164750772014</c:v>
                </c:pt>
                <c:pt idx="10">
                  <c:v>0.94132086007707272</c:v>
                </c:pt>
                <c:pt idx="11">
                  <c:v>1.1111486263306669</c:v>
                </c:pt>
                <c:pt idx="12">
                  <c:v>0.96746743601959495</c:v>
                </c:pt>
                <c:pt idx="13">
                  <c:v>0.95088732465642356</c:v>
                </c:pt>
                <c:pt idx="14">
                  <c:v>1.158954372481374</c:v>
                </c:pt>
                <c:pt idx="15">
                  <c:v>2.0025810629771423</c:v>
                </c:pt>
                <c:pt idx="16">
                  <c:v>1.0331145425891151</c:v>
                </c:pt>
                <c:pt idx="17">
                  <c:v>0.66806397937699979</c:v>
                </c:pt>
                <c:pt idx="18">
                  <c:v>-0.71713166303925391</c:v>
                </c:pt>
                <c:pt idx="19">
                  <c:v>1.9766615016345508</c:v>
                </c:pt>
                <c:pt idx="20">
                  <c:v>-4.7478594774171059</c:v>
                </c:pt>
              </c:numCache>
            </c:numRef>
          </c:val>
          <c:extLst>
            <c:ext xmlns:c16="http://schemas.microsoft.com/office/drawing/2014/chart" uri="{C3380CC4-5D6E-409C-BE32-E72D297353CC}">
              <c16:uniqueId val="{00000002-B0E4-48F1-8887-FCC5A1EEE9F3}"/>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Denmark!$D$10:$D$30</c:f>
              <c:numCache>
                <c:formatCode>0.0</c:formatCode>
                <c:ptCount val="21"/>
                <c:pt idx="0">
                  <c:v>0.30711930665816567</c:v>
                </c:pt>
                <c:pt idx="1">
                  <c:v>0.448867250379692</c:v>
                </c:pt>
                <c:pt idx="2">
                  <c:v>2.0664294186875765</c:v>
                </c:pt>
                <c:pt idx="3">
                  <c:v>1.637411232635877</c:v>
                </c:pt>
                <c:pt idx="4">
                  <c:v>3.6768822211637797</c:v>
                </c:pt>
                <c:pt idx="5">
                  <c:v>0.60300089788132283</c:v>
                </c:pt>
                <c:pt idx="6">
                  <c:v>0.17850819238791615</c:v>
                </c:pt>
                <c:pt idx="7">
                  <c:v>-4.6604585398805298</c:v>
                </c:pt>
                <c:pt idx="8">
                  <c:v>1.5040622664161063</c:v>
                </c:pt>
                <c:pt idx="9">
                  <c:v>1.4443101536043557</c:v>
                </c:pt>
                <c:pt idx="10">
                  <c:v>-2.0107080029418967E-3</c:v>
                </c:pt>
                <c:pt idx="11">
                  <c:v>1.4299425411161693</c:v>
                </c:pt>
                <c:pt idx="12">
                  <c:v>1.1251548069488138</c:v>
                </c:pt>
                <c:pt idx="13">
                  <c:v>1.9351775033912944</c:v>
                </c:pt>
                <c:pt idx="14">
                  <c:v>2.9369817349572003</c:v>
                </c:pt>
                <c:pt idx="15">
                  <c:v>3.1615130259700308</c:v>
                </c:pt>
                <c:pt idx="16">
                  <c:v>1.5491174387946671</c:v>
                </c:pt>
                <c:pt idx="17">
                  <c:v>1.668079891272356</c:v>
                </c:pt>
                <c:pt idx="18">
                  <c:v>-2.396944085317898</c:v>
                </c:pt>
                <c:pt idx="19">
                  <c:v>6.5725481976155464</c:v>
                </c:pt>
                <c:pt idx="20">
                  <c:v>1.3612159923599876</c:v>
                </c:pt>
              </c:numCache>
            </c:numRef>
          </c:val>
          <c:smooth val="0"/>
          <c:extLst>
            <c:ext xmlns:c16="http://schemas.microsoft.com/office/drawing/2014/chart" uri="{C3380CC4-5D6E-409C-BE32-E72D297353CC}">
              <c16:uniqueId val="{00000003-B0E4-48F1-8887-FCC5A1EEE9F3}"/>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Germany!$A$10:$A$30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Germany!$C$10:$C$30</c:f>
              <c:numCache>
                <c:formatCode>0.0</c:formatCode>
                <c:ptCount val="21"/>
                <c:pt idx="0">
                  <c:v>0.53096050028695785</c:v>
                </c:pt>
                <c:pt idx="1">
                  <c:v>0.22683366483287223</c:v>
                </c:pt>
                <c:pt idx="2">
                  <c:v>1.1651981970748939</c:v>
                </c:pt>
                <c:pt idx="3">
                  <c:v>1.2707872352693563</c:v>
                </c:pt>
                <c:pt idx="4">
                  <c:v>2.1520736507225351</c:v>
                </c:pt>
                <c:pt idx="5">
                  <c:v>1.7894910532783628</c:v>
                </c:pt>
                <c:pt idx="6">
                  <c:v>4.4903294589395015E-2</c:v>
                </c:pt>
                <c:pt idx="7">
                  <c:v>-4.6800473439011911</c:v>
                </c:pt>
                <c:pt idx="8">
                  <c:v>3.140064786991775</c:v>
                </c:pt>
                <c:pt idx="9">
                  <c:v>2.5995003769237566</c:v>
                </c:pt>
                <c:pt idx="10">
                  <c:v>0.50449345643326882</c:v>
                </c:pt>
                <c:pt idx="11">
                  <c:v>0.30163118444181158</c:v>
                </c:pt>
                <c:pt idx="12">
                  <c:v>1.1917797917864816</c:v>
                </c:pt>
                <c:pt idx="13">
                  <c:v>0.5394464333880129</c:v>
                </c:pt>
                <c:pt idx="14">
                  <c:v>1.5200188388929914</c:v>
                </c:pt>
                <c:pt idx="15">
                  <c:v>1.9316492533471379</c:v>
                </c:pt>
                <c:pt idx="16">
                  <c:v>0.36246134934465452</c:v>
                </c:pt>
                <c:pt idx="17">
                  <c:v>0.21809035301732671</c:v>
                </c:pt>
                <c:pt idx="18">
                  <c:v>-1.0634692937035057</c:v>
                </c:pt>
                <c:pt idx="19">
                  <c:v>2.0894223388830797</c:v>
                </c:pt>
                <c:pt idx="20">
                  <c:v>0.59733050209068073</c:v>
                </c:pt>
              </c:numCache>
            </c:numRef>
          </c:val>
          <c:smooth val="0"/>
          <c:extLst>
            <c:ext xmlns:c16="http://schemas.microsoft.com/office/drawing/2014/chart" uri="{C3380CC4-5D6E-409C-BE32-E72D297353CC}">
              <c16:uniqueId val="{00000001-D370-448D-91C1-E45D97348F6D}"/>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D370-448D-91C1-E45D97348F6D}"/>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7807773004881118"/>
          <c:w val="0.4456522178664899"/>
          <c:h val="0.12192226995118886"/>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Germany!$A$10:$A$30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Germany!$E$10:$E$30</c:f>
              <c:numCache>
                <c:formatCode>0.0</c:formatCode>
                <c:ptCount val="21"/>
                <c:pt idx="0">
                  <c:v>-0.75618216920854953</c:v>
                </c:pt>
                <c:pt idx="1">
                  <c:v>-0.99372560945462773</c:v>
                </c:pt>
                <c:pt idx="2">
                  <c:v>0.19492817839785501</c:v>
                </c:pt>
                <c:pt idx="3">
                  <c:v>-0.58312446082301805</c:v>
                </c:pt>
                <c:pt idx="4">
                  <c:v>1.4121052149964386</c:v>
                </c:pt>
                <c:pt idx="5">
                  <c:v>1.1478774585107028</c:v>
                </c:pt>
                <c:pt idx="6">
                  <c:v>0.59611127786691909</c:v>
                </c:pt>
                <c:pt idx="7">
                  <c:v>-1.7914532421956375</c:v>
                </c:pt>
                <c:pt idx="8">
                  <c:v>1.210306214832934</c:v>
                </c:pt>
                <c:pt idx="9">
                  <c:v>0.8420366805028795</c:v>
                </c:pt>
                <c:pt idx="10">
                  <c:v>-0.20854601629851813</c:v>
                </c:pt>
                <c:pt idx="11">
                  <c:v>5.9388317917566866E-3</c:v>
                </c:pt>
                <c:pt idx="12">
                  <c:v>0.80676837762137066</c:v>
                </c:pt>
                <c:pt idx="13">
                  <c:v>0.67523048368443839</c:v>
                </c:pt>
                <c:pt idx="14">
                  <c:v>0.57599480552789539</c:v>
                </c:pt>
                <c:pt idx="15">
                  <c:v>0.55637022449152995</c:v>
                </c:pt>
                <c:pt idx="16">
                  <c:v>0.52648848953612182</c:v>
                </c:pt>
                <c:pt idx="17">
                  <c:v>0.19522711747055266</c:v>
                </c:pt>
                <c:pt idx="18">
                  <c:v>-3.5057068074263493</c:v>
                </c:pt>
                <c:pt idx="19">
                  <c:v>1.5409560067476931</c:v>
                </c:pt>
                <c:pt idx="20">
                  <c:v>0.97259385407014998</c:v>
                </c:pt>
              </c:numCache>
            </c:numRef>
          </c:val>
          <c:extLst>
            <c:ext xmlns:c16="http://schemas.microsoft.com/office/drawing/2014/chart" uri="{C3380CC4-5D6E-409C-BE32-E72D297353CC}">
              <c16:uniqueId val="{00000000-D546-4DE1-AEE8-36251A27D4E9}"/>
            </c:ext>
          </c:extLst>
        </c:ser>
        <c:ser>
          <c:idx val="3"/>
          <c:order val="2"/>
          <c:tx>
            <c:v>Capital stock</c:v>
          </c:tx>
          <c:spPr>
            <a:solidFill>
              <a:srgbClr val="1E88E5"/>
            </a:solidFill>
            <a:ln>
              <a:noFill/>
            </a:ln>
            <a:effectLst/>
          </c:spPr>
          <c:invertIfNegative val="0"/>
          <c:cat>
            <c:numRef>
              <c:f>Germany!$A$10:$A$30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Germany!$F$10:$F$30</c:f>
              <c:numCache>
                <c:formatCode>0.0</c:formatCode>
                <c:ptCount val="21"/>
                <c:pt idx="0">
                  <c:v>0.27361857093112041</c:v>
                </c:pt>
                <c:pt idx="1">
                  <c:v>0.23323379089052423</c:v>
                </c:pt>
                <c:pt idx="2">
                  <c:v>0.19646609133271312</c:v>
                </c:pt>
                <c:pt idx="3">
                  <c:v>0.19445055295250976</c:v>
                </c:pt>
                <c:pt idx="4">
                  <c:v>0.31177909621287886</c:v>
                </c:pt>
                <c:pt idx="5">
                  <c:v>0.35302987512689504</c:v>
                </c:pt>
                <c:pt idx="6">
                  <c:v>0.32645142448070841</c:v>
                </c:pt>
                <c:pt idx="7">
                  <c:v>5.5569790245262991E-2</c:v>
                </c:pt>
                <c:pt idx="8">
                  <c:v>0.15463837740137948</c:v>
                </c:pt>
                <c:pt idx="9">
                  <c:v>0.23703865184315739</c:v>
                </c:pt>
                <c:pt idx="10">
                  <c:v>0.20799415262399906</c:v>
                </c:pt>
                <c:pt idx="11">
                  <c:v>0.15126851024284452</c:v>
                </c:pt>
                <c:pt idx="12">
                  <c:v>0.21253379732346875</c:v>
                </c:pt>
                <c:pt idx="13">
                  <c:v>0.21214634217447192</c:v>
                </c:pt>
                <c:pt idx="14">
                  <c:v>0.25775230395522081</c:v>
                </c:pt>
                <c:pt idx="15">
                  <c:v>0.27111703040337592</c:v>
                </c:pt>
                <c:pt idx="16">
                  <c:v>0.30367613885979267</c:v>
                </c:pt>
                <c:pt idx="17">
                  <c:v>0.2878332293813447</c:v>
                </c:pt>
                <c:pt idx="18">
                  <c:v>0.1866280112335231</c:v>
                </c:pt>
                <c:pt idx="19">
                  <c:v>9.9200253087724122E-2</c:v>
                </c:pt>
                <c:pt idx="20">
                  <c:v>0.14931551241317667</c:v>
                </c:pt>
              </c:numCache>
            </c:numRef>
          </c:val>
          <c:extLst>
            <c:ext xmlns:c16="http://schemas.microsoft.com/office/drawing/2014/chart" uri="{C3380CC4-5D6E-409C-BE32-E72D297353CC}">
              <c16:uniqueId val="{00000001-D546-4DE1-AEE8-36251A27D4E9}"/>
            </c:ext>
          </c:extLst>
        </c:ser>
        <c:ser>
          <c:idx val="0"/>
          <c:order val="3"/>
          <c:tx>
            <c:v>MFP</c:v>
          </c:tx>
          <c:spPr>
            <a:solidFill>
              <a:srgbClr val="D81B22"/>
            </a:solidFill>
            <a:ln>
              <a:noFill/>
            </a:ln>
            <a:effectLst/>
          </c:spPr>
          <c:invertIfNegative val="0"/>
          <c:cat>
            <c:numRef>
              <c:f>Germany!$A$10:$A$30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Germany!$C$10:$C$30</c:f>
              <c:numCache>
                <c:formatCode>0.0</c:formatCode>
                <c:ptCount val="21"/>
                <c:pt idx="0">
                  <c:v>0.53096050028695785</c:v>
                </c:pt>
                <c:pt idx="1">
                  <c:v>0.22683366483287223</c:v>
                </c:pt>
                <c:pt idx="2">
                  <c:v>1.1651981970748939</c:v>
                </c:pt>
                <c:pt idx="3">
                  <c:v>1.2707872352693563</c:v>
                </c:pt>
                <c:pt idx="4">
                  <c:v>2.1520736507225351</c:v>
                </c:pt>
                <c:pt idx="5">
                  <c:v>1.7894910532783628</c:v>
                </c:pt>
                <c:pt idx="6">
                  <c:v>4.4903294589395015E-2</c:v>
                </c:pt>
                <c:pt idx="7">
                  <c:v>-4.6800473439011911</c:v>
                </c:pt>
                <c:pt idx="8">
                  <c:v>3.140064786991775</c:v>
                </c:pt>
                <c:pt idx="9">
                  <c:v>2.5995003769237566</c:v>
                </c:pt>
                <c:pt idx="10">
                  <c:v>0.50449345643326882</c:v>
                </c:pt>
                <c:pt idx="11">
                  <c:v>0.30163118444181158</c:v>
                </c:pt>
                <c:pt idx="12">
                  <c:v>1.1917797917864816</c:v>
                </c:pt>
                <c:pt idx="13">
                  <c:v>0.5394464333880129</c:v>
                </c:pt>
                <c:pt idx="14">
                  <c:v>1.5200188388929914</c:v>
                </c:pt>
                <c:pt idx="15">
                  <c:v>1.9316492533471379</c:v>
                </c:pt>
                <c:pt idx="16">
                  <c:v>0.36246134934465452</c:v>
                </c:pt>
                <c:pt idx="17">
                  <c:v>0.21809035301732671</c:v>
                </c:pt>
                <c:pt idx="18">
                  <c:v>-1.0634692937035057</c:v>
                </c:pt>
                <c:pt idx="19">
                  <c:v>2.0894223388830797</c:v>
                </c:pt>
                <c:pt idx="20">
                  <c:v>0.59733050209068073</c:v>
                </c:pt>
              </c:numCache>
            </c:numRef>
          </c:val>
          <c:extLst>
            <c:ext xmlns:c16="http://schemas.microsoft.com/office/drawing/2014/chart" uri="{C3380CC4-5D6E-409C-BE32-E72D297353CC}">
              <c16:uniqueId val="{00000002-D546-4DE1-AEE8-36251A27D4E9}"/>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Germany!$D$10:$D$30</c:f>
              <c:numCache>
                <c:formatCode>0.0</c:formatCode>
                <c:ptCount val="21"/>
                <c:pt idx="0">
                  <c:v>4.8396902009528731E-2</c:v>
                </c:pt>
                <c:pt idx="1">
                  <c:v>-0.53365815373123127</c:v>
                </c:pt>
                <c:pt idx="2">
                  <c:v>1.556592466805462</c:v>
                </c:pt>
                <c:pt idx="3">
                  <c:v>0.88211332739884796</c:v>
                </c:pt>
                <c:pt idx="4">
                  <c:v>3.8759579619318529</c:v>
                </c:pt>
                <c:pt idx="5">
                  <c:v>3.2903983869159603</c:v>
                </c:pt>
                <c:pt idx="6">
                  <c:v>0.96746599693702251</c:v>
                </c:pt>
                <c:pt idx="7">
                  <c:v>-6.4159307958515654</c:v>
                </c:pt>
                <c:pt idx="8">
                  <c:v>4.5050093792260881</c:v>
                </c:pt>
                <c:pt idx="9">
                  <c:v>3.6785757092697935</c:v>
                </c:pt>
                <c:pt idx="10">
                  <c:v>0.50394159275874983</c:v>
                </c:pt>
                <c:pt idx="11">
                  <c:v>0.45883852647641277</c:v>
                </c:pt>
                <c:pt idx="12">
                  <c:v>2.2110819667313208</c:v>
                </c:pt>
                <c:pt idx="13">
                  <c:v>1.4268232592469232</c:v>
                </c:pt>
                <c:pt idx="14">
                  <c:v>2.3537659483761075</c:v>
                </c:pt>
                <c:pt idx="15">
                  <c:v>2.7591365082420438</c:v>
                </c:pt>
                <c:pt idx="16">
                  <c:v>1.192625977740569</c:v>
                </c:pt>
                <c:pt idx="17">
                  <c:v>0.70115069986922407</c:v>
                </c:pt>
                <c:pt idx="18">
                  <c:v>-4.382548089896332</c:v>
                </c:pt>
                <c:pt idx="19">
                  <c:v>3.7295785987184971</c:v>
                </c:pt>
                <c:pt idx="20">
                  <c:v>1.7192398685740073</c:v>
                </c:pt>
              </c:numCache>
            </c:numRef>
          </c:val>
          <c:smooth val="0"/>
          <c:extLst>
            <c:ext xmlns:c16="http://schemas.microsoft.com/office/drawing/2014/chart" uri="{C3380CC4-5D6E-409C-BE32-E72D297353CC}">
              <c16:uniqueId val="{00000003-D546-4DE1-AEE8-36251A27D4E9}"/>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Estonia!$A$10:$A$30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Estonia!$C$10:$C$30</c:f>
              <c:numCache>
                <c:formatCode>0.0</c:formatCode>
                <c:ptCount val="21"/>
                <c:pt idx="0">
                  <c:v>3.9549420349085946</c:v>
                </c:pt>
                <c:pt idx="1">
                  <c:v>3.1850626547999181</c:v>
                </c:pt>
                <c:pt idx="2">
                  <c:v>3.4232768094535624</c:v>
                </c:pt>
                <c:pt idx="3">
                  <c:v>4.2970909331892919</c:v>
                </c:pt>
                <c:pt idx="4">
                  <c:v>2.7671017402037412</c:v>
                </c:pt>
                <c:pt idx="5">
                  <c:v>3.0940728009000331</c:v>
                </c:pt>
                <c:pt idx="6">
                  <c:v>-4.3079066394623622</c:v>
                </c:pt>
                <c:pt idx="7">
                  <c:v>-6.0547606298119243</c:v>
                </c:pt>
                <c:pt idx="8">
                  <c:v>4.7809476507155724</c:v>
                </c:pt>
                <c:pt idx="9">
                  <c:v>1.1482439143380383</c:v>
                </c:pt>
                <c:pt idx="10">
                  <c:v>1.2971969213797672</c:v>
                </c:pt>
                <c:pt idx="11">
                  <c:v>4.7113702425705783E-2</c:v>
                </c:pt>
                <c:pt idx="12">
                  <c:v>1.5598646081323073</c:v>
                </c:pt>
                <c:pt idx="13">
                  <c:v>-0.83221847503844626</c:v>
                </c:pt>
                <c:pt idx="14">
                  <c:v>1.3972749402120945</c:v>
                </c:pt>
                <c:pt idx="15">
                  <c:v>3.3170333392519966</c:v>
                </c:pt>
                <c:pt idx="16">
                  <c:v>4.074725381474031</c:v>
                </c:pt>
                <c:pt idx="17">
                  <c:v>1.3759274742378151</c:v>
                </c:pt>
                <c:pt idx="18">
                  <c:v>-0.11735278092822088</c:v>
                </c:pt>
                <c:pt idx="19">
                  <c:v>5.3847865946691922</c:v>
                </c:pt>
                <c:pt idx="20">
                  <c:v>-2.4526292677291419</c:v>
                </c:pt>
              </c:numCache>
            </c:numRef>
          </c:val>
          <c:smooth val="0"/>
          <c:extLst>
            <c:ext xmlns:c16="http://schemas.microsoft.com/office/drawing/2014/chart" uri="{C3380CC4-5D6E-409C-BE32-E72D297353CC}">
              <c16:uniqueId val="{00000001-136C-44DE-B11B-95383F13E8C7}"/>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136C-44DE-B11B-95383F13E8C7}"/>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9666756993283692"/>
          <c:w val="0.40428274568389366"/>
          <c:h val="0.10333243006716311"/>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Estonia!$A$10:$A$30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Estonia!$E$10:$E$30</c:f>
              <c:numCache>
                <c:formatCode>0.0</c:formatCode>
                <c:ptCount val="21"/>
                <c:pt idx="0">
                  <c:v>5.1413434517718244E-2</c:v>
                </c:pt>
                <c:pt idx="1">
                  <c:v>1.3090178823636736</c:v>
                </c:pt>
                <c:pt idx="2">
                  <c:v>5.3653065634081086E-3</c:v>
                </c:pt>
                <c:pt idx="3">
                  <c:v>1.8137304429816961</c:v>
                </c:pt>
                <c:pt idx="4">
                  <c:v>2.3694765041092345</c:v>
                </c:pt>
                <c:pt idx="5">
                  <c:v>3.3979113371924739E-2</c:v>
                </c:pt>
                <c:pt idx="6">
                  <c:v>-1.0237135144219753</c:v>
                </c:pt>
                <c:pt idx="7">
                  <c:v>-11.06133408188014</c:v>
                </c:pt>
                <c:pt idx="8">
                  <c:v>-1.6895582841328332</c:v>
                </c:pt>
                <c:pt idx="9">
                  <c:v>4.9778684980527812</c:v>
                </c:pt>
                <c:pt idx="10">
                  <c:v>-7.3183514993433132E-2</c:v>
                </c:pt>
                <c:pt idx="11">
                  <c:v>0.1018584908432091</c:v>
                </c:pt>
                <c:pt idx="12">
                  <c:v>0.23710640651174397</c:v>
                </c:pt>
                <c:pt idx="13">
                  <c:v>1.3991481098415952</c:v>
                </c:pt>
                <c:pt idx="14">
                  <c:v>0.28737861017464666</c:v>
                </c:pt>
                <c:pt idx="15">
                  <c:v>1.642100650722597</c:v>
                </c:pt>
                <c:pt idx="16">
                  <c:v>-1.564144119067759</c:v>
                </c:pt>
                <c:pt idx="17">
                  <c:v>0.31032465385000491</c:v>
                </c:pt>
                <c:pt idx="18">
                  <c:v>-3.862658841100779</c:v>
                </c:pt>
                <c:pt idx="19">
                  <c:v>-0.36525170460038175</c:v>
                </c:pt>
                <c:pt idx="20">
                  <c:v>1.8271203590056593</c:v>
                </c:pt>
              </c:numCache>
            </c:numRef>
          </c:val>
          <c:extLst>
            <c:ext xmlns:c16="http://schemas.microsoft.com/office/drawing/2014/chart" uri="{C3380CC4-5D6E-409C-BE32-E72D297353CC}">
              <c16:uniqueId val="{00000000-0AD7-43AA-B81F-FD5BEB4F7BA2}"/>
            </c:ext>
          </c:extLst>
        </c:ser>
        <c:ser>
          <c:idx val="3"/>
          <c:order val="2"/>
          <c:tx>
            <c:v>Capital stock</c:v>
          </c:tx>
          <c:spPr>
            <a:solidFill>
              <a:srgbClr val="1E88E5"/>
            </a:solidFill>
            <a:ln>
              <a:noFill/>
            </a:ln>
            <a:effectLst/>
          </c:spPr>
          <c:invertIfNegative val="0"/>
          <c:cat>
            <c:numRef>
              <c:f>Estonia!$A$10:$A$30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Estonia!$F$10:$F$30</c:f>
              <c:numCache>
                <c:formatCode>0.0</c:formatCode>
                <c:ptCount val="21"/>
                <c:pt idx="0">
                  <c:v>2.39046324429111</c:v>
                </c:pt>
                <c:pt idx="1">
                  <c:v>2.9051570672525728</c:v>
                </c:pt>
                <c:pt idx="2">
                  <c:v>2.6397336379996936</c:v>
                </c:pt>
                <c:pt idx="3">
                  <c:v>2.99874261061654</c:v>
                </c:pt>
                <c:pt idx="4">
                  <c:v>3.7489199468673204</c:v>
                </c:pt>
                <c:pt idx="5">
                  <c:v>3.6630681753309622</c:v>
                </c:pt>
                <c:pt idx="6">
                  <c:v>2.280662991389832</c:v>
                </c:pt>
                <c:pt idx="7">
                  <c:v>0.54969007069571896</c:v>
                </c:pt>
                <c:pt idx="8">
                  <c:v>0.48553998107740048</c:v>
                </c:pt>
                <c:pt idx="9">
                  <c:v>1.490001260131576</c:v>
                </c:pt>
                <c:pt idx="10">
                  <c:v>1.897182599744077</c:v>
                </c:pt>
                <c:pt idx="11">
                  <c:v>1.5822666492921187</c:v>
                </c:pt>
                <c:pt idx="12">
                  <c:v>1.3431897476973083</c:v>
                </c:pt>
                <c:pt idx="13">
                  <c:v>1.0263014254457408</c:v>
                </c:pt>
                <c:pt idx="14">
                  <c:v>1.0877494553375586</c:v>
                </c:pt>
                <c:pt idx="15">
                  <c:v>1.3385422502883013</c:v>
                </c:pt>
                <c:pt idx="16">
                  <c:v>1.5024278892212284</c:v>
                </c:pt>
                <c:pt idx="17">
                  <c:v>1.4005365810296295</c:v>
                </c:pt>
                <c:pt idx="18">
                  <c:v>1.2404422463443969</c:v>
                </c:pt>
                <c:pt idx="19">
                  <c:v>1.2587944066288383</c:v>
                </c:pt>
                <c:pt idx="20">
                  <c:v>1.2306182918386814</c:v>
                </c:pt>
              </c:numCache>
            </c:numRef>
          </c:val>
          <c:extLst>
            <c:ext xmlns:c16="http://schemas.microsoft.com/office/drawing/2014/chart" uri="{C3380CC4-5D6E-409C-BE32-E72D297353CC}">
              <c16:uniqueId val="{00000001-0AD7-43AA-B81F-FD5BEB4F7BA2}"/>
            </c:ext>
          </c:extLst>
        </c:ser>
        <c:ser>
          <c:idx val="0"/>
          <c:order val="3"/>
          <c:tx>
            <c:v>MFP</c:v>
          </c:tx>
          <c:spPr>
            <a:solidFill>
              <a:srgbClr val="D81B22"/>
            </a:solidFill>
            <a:ln>
              <a:noFill/>
            </a:ln>
            <a:effectLst/>
          </c:spPr>
          <c:invertIfNegative val="0"/>
          <c:cat>
            <c:numRef>
              <c:f>Estonia!$A$10:$A$30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Estonia!$C$10:$C$30</c:f>
              <c:numCache>
                <c:formatCode>0.0</c:formatCode>
                <c:ptCount val="21"/>
                <c:pt idx="0">
                  <c:v>3.9549420349085946</c:v>
                </c:pt>
                <c:pt idx="1">
                  <c:v>3.1850626547999181</c:v>
                </c:pt>
                <c:pt idx="2">
                  <c:v>3.4232768094535624</c:v>
                </c:pt>
                <c:pt idx="3">
                  <c:v>4.2970909331892919</c:v>
                </c:pt>
                <c:pt idx="4">
                  <c:v>2.7671017402037412</c:v>
                </c:pt>
                <c:pt idx="5">
                  <c:v>3.0940728009000331</c:v>
                </c:pt>
                <c:pt idx="6">
                  <c:v>-4.3079066394623622</c:v>
                </c:pt>
                <c:pt idx="7">
                  <c:v>-6.0547606298119243</c:v>
                </c:pt>
                <c:pt idx="8">
                  <c:v>4.7809476507155724</c:v>
                </c:pt>
                <c:pt idx="9">
                  <c:v>1.1482439143380383</c:v>
                </c:pt>
                <c:pt idx="10">
                  <c:v>1.2971969213797672</c:v>
                </c:pt>
                <c:pt idx="11">
                  <c:v>4.7113702425705783E-2</c:v>
                </c:pt>
                <c:pt idx="12">
                  <c:v>1.5598646081323073</c:v>
                </c:pt>
                <c:pt idx="13">
                  <c:v>-0.83221847503844626</c:v>
                </c:pt>
                <c:pt idx="14">
                  <c:v>1.3972749402120945</c:v>
                </c:pt>
                <c:pt idx="15">
                  <c:v>3.3170333392519966</c:v>
                </c:pt>
                <c:pt idx="16">
                  <c:v>4.074725381474031</c:v>
                </c:pt>
                <c:pt idx="17">
                  <c:v>1.3759274742378151</c:v>
                </c:pt>
                <c:pt idx="18">
                  <c:v>-0.11735278092822088</c:v>
                </c:pt>
                <c:pt idx="19">
                  <c:v>5.3847865946691922</c:v>
                </c:pt>
                <c:pt idx="20">
                  <c:v>-2.4526292677291419</c:v>
                </c:pt>
              </c:numCache>
            </c:numRef>
          </c:val>
          <c:extLst>
            <c:ext xmlns:c16="http://schemas.microsoft.com/office/drawing/2014/chart" uri="{C3380CC4-5D6E-409C-BE32-E72D297353CC}">
              <c16:uniqueId val="{00000002-0AD7-43AA-B81F-FD5BEB4F7BA2}"/>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Estonia!$D$10:$D$30</c:f>
              <c:numCache>
                <c:formatCode>0.0</c:formatCode>
                <c:ptCount val="21"/>
                <c:pt idx="0">
                  <c:v>6.3968187137174226</c:v>
                </c:pt>
                <c:pt idx="1">
                  <c:v>7.3992376044161645</c:v>
                </c:pt>
                <c:pt idx="2">
                  <c:v>6.0683757540166638</c:v>
                </c:pt>
                <c:pt idx="3">
                  <c:v>9.1095639867875278</c:v>
                </c:pt>
                <c:pt idx="4">
                  <c:v>8.8854981911802966</c:v>
                </c:pt>
                <c:pt idx="5">
                  <c:v>6.79112008960292</c:v>
                </c:pt>
                <c:pt idx="6">
                  <c:v>-3.0509571624945053</c:v>
                </c:pt>
                <c:pt idx="7">
                  <c:v>-16.566404640996346</c:v>
                </c:pt>
                <c:pt idx="8">
                  <c:v>3.5769293476601405</c:v>
                </c:pt>
                <c:pt idx="9">
                  <c:v>7.6161136725223955</c:v>
                </c:pt>
                <c:pt idx="10">
                  <c:v>3.1211960061304111</c:v>
                </c:pt>
                <c:pt idx="11">
                  <c:v>1.7312388425610337</c:v>
                </c:pt>
                <c:pt idx="12">
                  <c:v>3.1401607623413597</c:v>
                </c:pt>
                <c:pt idx="13">
                  <c:v>1.5932310602488897</c:v>
                </c:pt>
                <c:pt idx="14">
                  <c:v>2.7724030057242999</c:v>
                </c:pt>
                <c:pt idx="15">
                  <c:v>6.297676240262895</c:v>
                </c:pt>
                <c:pt idx="16">
                  <c:v>4.0130091516275002</c:v>
                </c:pt>
                <c:pt idx="17">
                  <c:v>3.0867887091174495</c:v>
                </c:pt>
                <c:pt idx="18">
                  <c:v>-2.7395693756846029</c:v>
                </c:pt>
                <c:pt idx="19">
                  <c:v>6.2783292966976489</c:v>
                </c:pt>
                <c:pt idx="20">
                  <c:v>0.6051093831151988</c:v>
                </c:pt>
              </c:numCache>
            </c:numRef>
          </c:val>
          <c:smooth val="0"/>
          <c:extLst>
            <c:ext xmlns:c16="http://schemas.microsoft.com/office/drawing/2014/chart" uri="{C3380CC4-5D6E-409C-BE32-E72D297353CC}">
              <c16:uniqueId val="{00000003-0AD7-43AA-B81F-FD5BEB4F7BA2}"/>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Ireland!$A$10:$A$30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Ireland!$C$10:$C$30</c:f>
              <c:numCache>
                <c:formatCode>0.0</c:formatCode>
                <c:ptCount val="21"/>
                <c:pt idx="0">
                  <c:v>2.3222576886417787</c:v>
                </c:pt>
                <c:pt idx="1">
                  <c:v>-1.6860129404731052</c:v>
                </c:pt>
                <c:pt idx="2">
                  <c:v>0.64304322936369251</c:v>
                </c:pt>
                <c:pt idx="3">
                  <c:v>-1.0480242937430684</c:v>
                </c:pt>
                <c:pt idx="4">
                  <c:v>-0.22257029117426841</c:v>
                </c:pt>
                <c:pt idx="5">
                  <c:v>3.3671528518002019</c:v>
                </c:pt>
                <c:pt idx="6">
                  <c:v>-2.2621286925718991</c:v>
                </c:pt>
                <c:pt idx="7">
                  <c:v>-0.48751890771484652</c:v>
                </c:pt>
                <c:pt idx="8">
                  <c:v>3.6798096183840996</c:v>
                </c:pt>
                <c:pt idx="9">
                  <c:v>2.9254766023966212</c:v>
                </c:pt>
                <c:pt idx="10">
                  <c:v>-3.3021161616332502</c:v>
                </c:pt>
                <c:pt idx="11">
                  <c:v>-4.1957258193764915</c:v>
                </c:pt>
                <c:pt idx="12">
                  <c:v>3.8644636712045521</c:v>
                </c:pt>
                <c:pt idx="13">
                  <c:v>-1.5682585577293153</c:v>
                </c:pt>
                <c:pt idx="14">
                  <c:v>-3.1017250838493058</c:v>
                </c:pt>
                <c:pt idx="15">
                  <c:v>3.7417889571844927</c:v>
                </c:pt>
                <c:pt idx="16">
                  <c:v>6.2383717024501051</c:v>
                </c:pt>
                <c:pt idx="17">
                  <c:v>-2.0652739112409946</c:v>
                </c:pt>
                <c:pt idx="18">
                  <c:v>7.9971069626536684</c:v>
                </c:pt>
                <c:pt idx="19">
                  <c:v>13.991316498906254</c:v>
                </c:pt>
                <c:pt idx="20">
                  <c:v>6.8667815993880543</c:v>
                </c:pt>
              </c:numCache>
            </c:numRef>
          </c:val>
          <c:smooth val="0"/>
          <c:extLst>
            <c:ext xmlns:c16="http://schemas.microsoft.com/office/drawing/2014/chart" uri="{C3380CC4-5D6E-409C-BE32-E72D297353CC}">
              <c16:uniqueId val="{00000001-B898-4A9C-AA2E-4DBAFDEE8656}"/>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B898-4A9C-AA2E-4DBAFDEE8656}"/>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8272519001981753"/>
          <c:w val="0.47418288833724598"/>
          <c:h val="0.11727480998018243"/>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Ireland!$A$10:$A$30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Ireland!$E$10:$E$30</c:f>
              <c:numCache>
                <c:formatCode>0.0</c:formatCode>
                <c:ptCount val="21"/>
                <c:pt idx="0">
                  <c:v>0.34824585141923026</c:v>
                </c:pt>
                <c:pt idx="1">
                  <c:v>8.5191905951570987E-2</c:v>
                </c:pt>
                <c:pt idx="2">
                  <c:v>1.321957525815638</c:v>
                </c:pt>
                <c:pt idx="3">
                  <c:v>2.5722348918841598</c:v>
                </c:pt>
                <c:pt idx="4">
                  <c:v>1.8151378869457022</c:v>
                </c:pt>
                <c:pt idx="5">
                  <c:v>1.5489336192913621</c:v>
                </c:pt>
                <c:pt idx="6">
                  <c:v>-1.7546927364008327</c:v>
                </c:pt>
                <c:pt idx="7">
                  <c:v>-7.2757338896997945</c:v>
                </c:pt>
                <c:pt idx="8">
                  <c:v>-2.6503439670101896</c:v>
                </c:pt>
                <c:pt idx="9">
                  <c:v>-1.0282649173447591</c:v>
                </c:pt>
                <c:pt idx="10">
                  <c:v>-0.40803875725339445</c:v>
                </c:pt>
                <c:pt idx="11">
                  <c:v>2.2033692121798567</c:v>
                </c:pt>
                <c:pt idx="12">
                  <c:v>1.7133013809148996</c:v>
                </c:pt>
                <c:pt idx="13">
                  <c:v>1.3502432081164597</c:v>
                </c:pt>
                <c:pt idx="14">
                  <c:v>2.0779281026743952</c:v>
                </c:pt>
                <c:pt idx="15">
                  <c:v>1.7866555451775183</c:v>
                </c:pt>
                <c:pt idx="16">
                  <c:v>1.4498089069297391</c:v>
                </c:pt>
                <c:pt idx="17">
                  <c:v>1.2073734668021303</c:v>
                </c:pt>
                <c:pt idx="18">
                  <c:v>-3.5927636342359675</c:v>
                </c:pt>
                <c:pt idx="19">
                  <c:v>2.4807520400842353</c:v>
                </c:pt>
                <c:pt idx="20">
                  <c:v>2.760587662966115</c:v>
                </c:pt>
              </c:numCache>
            </c:numRef>
          </c:val>
          <c:extLst>
            <c:ext xmlns:c16="http://schemas.microsoft.com/office/drawing/2014/chart" uri="{C3380CC4-5D6E-409C-BE32-E72D297353CC}">
              <c16:uniqueId val="{00000000-44DE-4413-A059-D484C5CA7F74}"/>
            </c:ext>
          </c:extLst>
        </c:ser>
        <c:ser>
          <c:idx val="3"/>
          <c:order val="2"/>
          <c:tx>
            <c:v>Capital stock</c:v>
          </c:tx>
          <c:spPr>
            <a:solidFill>
              <a:srgbClr val="1E88E5"/>
            </a:solidFill>
            <a:ln>
              <a:noFill/>
            </a:ln>
            <a:effectLst/>
          </c:spPr>
          <c:invertIfNegative val="0"/>
          <c:cat>
            <c:numRef>
              <c:f>Ireland!$A$10:$A$30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Ireland!$F$10:$F$30</c:f>
              <c:numCache>
                <c:formatCode>0.0</c:formatCode>
                <c:ptCount val="21"/>
                <c:pt idx="0">
                  <c:v>3.2434888496133958</c:v>
                </c:pt>
                <c:pt idx="1">
                  <c:v>2.8897789146136685</c:v>
                </c:pt>
                <c:pt idx="2">
                  <c:v>3.10341354935853</c:v>
                </c:pt>
                <c:pt idx="3">
                  <c:v>4.3889816682403593</c:v>
                </c:pt>
                <c:pt idx="4">
                  <c:v>2.8957071835362322</c:v>
                </c:pt>
                <c:pt idx="5">
                  <c:v>2.6124184172123357</c:v>
                </c:pt>
                <c:pt idx="6">
                  <c:v>1.7464334520373146</c:v>
                </c:pt>
                <c:pt idx="7">
                  <c:v>1.1772658489266203</c:v>
                </c:pt>
                <c:pt idx="8">
                  <c:v>0.75278810164330556</c:v>
                </c:pt>
                <c:pt idx="9">
                  <c:v>0.47848424173559606</c:v>
                </c:pt>
                <c:pt idx="10">
                  <c:v>0.8815445538509229</c:v>
                </c:pt>
                <c:pt idx="11">
                  <c:v>4.1510098853446724</c:v>
                </c:pt>
                <c:pt idx="12">
                  <c:v>2.7016194579787243</c:v>
                </c:pt>
                <c:pt idx="13">
                  <c:v>20.512439163534225</c:v>
                </c:pt>
                <c:pt idx="14">
                  <c:v>2.0009247768331941</c:v>
                </c:pt>
                <c:pt idx="15">
                  <c:v>1.9076079938919528</c:v>
                </c:pt>
                <c:pt idx="16">
                  <c:v>1.2478817992823155</c:v>
                </c:pt>
                <c:pt idx="17">
                  <c:v>5.9989890801675498</c:v>
                </c:pt>
                <c:pt idx="18">
                  <c:v>3.00843318273765</c:v>
                </c:pt>
                <c:pt idx="19">
                  <c:v>-1.2186614330212377</c:v>
                </c:pt>
                <c:pt idx="20">
                  <c:v>-1.2087254265275689</c:v>
                </c:pt>
              </c:numCache>
            </c:numRef>
          </c:val>
          <c:extLst>
            <c:ext xmlns:c16="http://schemas.microsoft.com/office/drawing/2014/chart" uri="{C3380CC4-5D6E-409C-BE32-E72D297353CC}">
              <c16:uniqueId val="{00000001-44DE-4413-A059-D484C5CA7F74}"/>
            </c:ext>
          </c:extLst>
        </c:ser>
        <c:ser>
          <c:idx val="0"/>
          <c:order val="3"/>
          <c:tx>
            <c:v>MFP</c:v>
          </c:tx>
          <c:spPr>
            <a:solidFill>
              <a:srgbClr val="D81B22"/>
            </a:solidFill>
            <a:ln>
              <a:noFill/>
            </a:ln>
            <a:effectLst/>
          </c:spPr>
          <c:invertIfNegative val="0"/>
          <c:cat>
            <c:numRef>
              <c:f>Ireland!$A$10:$A$30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Ireland!$C$10:$C$30</c:f>
              <c:numCache>
                <c:formatCode>0.0</c:formatCode>
                <c:ptCount val="21"/>
                <c:pt idx="0">
                  <c:v>2.3222576886417787</c:v>
                </c:pt>
                <c:pt idx="1">
                  <c:v>-1.6860129404731052</c:v>
                </c:pt>
                <c:pt idx="2">
                  <c:v>0.64304322936369251</c:v>
                </c:pt>
                <c:pt idx="3">
                  <c:v>-1.0480242937430684</c:v>
                </c:pt>
                <c:pt idx="4">
                  <c:v>-0.22257029117426841</c:v>
                </c:pt>
                <c:pt idx="5">
                  <c:v>3.3671528518002019</c:v>
                </c:pt>
                <c:pt idx="6">
                  <c:v>-2.2621286925718991</c:v>
                </c:pt>
                <c:pt idx="7">
                  <c:v>-0.48751890771484652</c:v>
                </c:pt>
                <c:pt idx="8">
                  <c:v>3.6798096183840996</c:v>
                </c:pt>
                <c:pt idx="9">
                  <c:v>2.9254766023966212</c:v>
                </c:pt>
                <c:pt idx="10">
                  <c:v>-3.3021161616332502</c:v>
                </c:pt>
                <c:pt idx="11">
                  <c:v>-4.1957258193764915</c:v>
                </c:pt>
                <c:pt idx="12">
                  <c:v>3.8644636712045521</c:v>
                </c:pt>
                <c:pt idx="13">
                  <c:v>-1.5682585577293153</c:v>
                </c:pt>
                <c:pt idx="14">
                  <c:v>-3.1017250838493058</c:v>
                </c:pt>
                <c:pt idx="15">
                  <c:v>3.7417889571844927</c:v>
                </c:pt>
                <c:pt idx="16">
                  <c:v>6.2383717024501051</c:v>
                </c:pt>
                <c:pt idx="17">
                  <c:v>-2.0652739112409946</c:v>
                </c:pt>
                <c:pt idx="18">
                  <c:v>7.9971069626536684</c:v>
                </c:pt>
                <c:pt idx="19">
                  <c:v>13.991316498906254</c:v>
                </c:pt>
                <c:pt idx="20">
                  <c:v>6.8667815993880543</c:v>
                </c:pt>
              </c:numCache>
            </c:numRef>
          </c:val>
          <c:extLst>
            <c:ext xmlns:c16="http://schemas.microsoft.com/office/drawing/2014/chart" uri="{C3380CC4-5D6E-409C-BE32-E72D297353CC}">
              <c16:uniqueId val="{00000002-44DE-4413-A059-D484C5CA7F74}"/>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Ireland!$D$10:$D$30</c:f>
              <c:numCache>
                <c:formatCode>0.0</c:formatCode>
                <c:ptCount val="21"/>
                <c:pt idx="0">
                  <c:v>5.9139923896744051</c:v>
                </c:pt>
                <c:pt idx="1">
                  <c:v>1.2889578800921342</c:v>
                </c:pt>
                <c:pt idx="2">
                  <c:v>5.0684143045378605</c:v>
                </c:pt>
                <c:pt idx="3">
                  <c:v>5.9131922663814507</c:v>
                </c:pt>
                <c:pt idx="4">
                  <c:v>4.4882747793076661</c:v>
                </c:pt>
                <c:pt idx="5">
                  <c:v>7.5285048883038996</c:v>
                </c:pt>
                <c:pt idx="6">
                  <c:v>-2.2703879769354174</c:v>
                </c:pt>
                <c:pt idx="7">
                  <c:v>-6.5859869484880207</c:v>
                </c:pt>
                <c:pt idx="8">
                  <c:v>1.7822537530172156</c:v>
                </c:pt>
                <c:pt idx="9">
                  <c:v>2.3756959267874578</c:v>
                </c:pt>
                <c:pt idx="10">
                  <c:v>-2.8286103650357219</c:v>
                </c:pt>
                <c:pt idx="11">
                  <c:v>2.1586532781480372</c:v>
                </c:pt>
                <c:pt idx="12">
                  <c:v>8.2793845100981756</c:v>
                </c:pt>
                <c:pt idx="13">
                  <c:v>20.29442381392137</c:v>
                </c:pt>
                <c:pt idx="14">
                  <c:v>0.97712779565828356</c:v>
                </c:pt>
                <c:pt idx="15">
                  <c:v>7.4360524962539643</c:v>
                </c:pt>
                <c:pt idx="16">
                  <c:v>8.9360624086621598</c:v>
                </c:pt>
                <c:pt idx="17">
                  <c:v>5.1410886357286856</c:v>
                </c:pt>
                <c:pt idx="18">
                  <c:v>7.4127765111553501</c:v>
                </c:pt>
                <c:pt idx="19">
                  <c:v>15.253407105969252</c:v>
                </c:pt>
                <c:pt idx="20">
                  <c:v>8.4186438358266003</c:v>
                </c:pt>
              </c:numCache>
            </c:numRef>
          </c:val>
          <c:smooth val="0"/>
          <c:extLst>
            <c:ext xmlns:c16="http://schemas.microsoft.com/office/drawing/2014/chart" uri="{C3380CC4-5D6E-409C-BE32-E72D297353CC}">
              <c16:uniqueId val="{00000003-44DE-4413-A059-D484C5CA7F74}"/>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Greece!$A$10:$A$30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Greece!$C$10:$C$30</c:f>
              <c:numCache>
                <c:formatCode>0.0</c:formatCode>
                <c:ptCount val="21"/>
                <c:pt idx="0">
                  <c:v>2.2475387887727409</c:v>
                </c:pt>
                <c:pt idx="1">
                  <c:v>3.8281443250611957</c:v>
                </c:pt>
                <c:pt idx="2">
                  <c:v>3.4735131524734379</c:v>
                </c:pt>
                <c:pt idx="3">
                  <c:v>-2.0366321616158451</c:v>
                </c:pt>
                <c:pt idx="4">
                  <c:v>2.9116336542932215</c:v>
                </c:pt>
                <c:pt idx="5">
                  <c:v>0.73710833917769669</c:v>
                </c:pt>
                <c:pt idx="6">
                  <c:v>-1.4220240357086849</c:v>
                </c:pt>
                <c:pt idx="7">
                  <c:v>-2.9494286726475805</c:v>
                </c:pt>
                <c:pt idx="8">
                  <c:v>-2.1688474914143074</c:v>
                </c:pt>
                <c:pt idx="9">
                  <c:v>-6.4886557082330558</c:v>
                </c:pt>
                <c:pt idx="10">
                  <c:v>-5.4236044571987048</c:v>
                </c:pt>
                <c:pt idx="11">
                  <c:v>-0.7171513796647554</c:v>
                </c:pt>
                <c:pt idx="12">
                  <c:v>0.15606845211667097</c:v>
                </c:pt>
                <c:pt idx="13">
                  <c:v>3.1453216503145267</c:v>
                </c:pt>
                <c:pt idx="14">
                  <c:v>-1.9120053616845234</c:v>
                </c:pt>
                <c:pt idx="15">
                  <c:v>3.0657464138308916</c:v>
                </c:pt>
                <c:pt idx="16">
                  <c:v>-0.72117197414976231</c:v>
                </c:pt>
                <c:pt idx="17">
                  <c:v>2.6380989675128075</c:v>
                </c:pt>
                <c:pt idx="18">
                  <c:v>-0.89690220671853149</c:v>
                </c:pt>
                <c:pt idx="19">
                  <c:v>0.85584073344923439</c:v>
                </c:pt>
                <c:pt idx="20">
                  <c:v>3.0590937145902037</c:v>
                </c:pt>
              </c:numCache>
            </c:numRef>
          </c:val>
          <c:smooth val="0"/>
          <c:extLst>
            <c:ext xmlns:c16="http://schemas.microsoft.com/office/drawing/2014/chart" uri="{C3380CC4-5D6E-409C-BE32-E72D297353CC}">
              <c16:uniqueId val="{00000001-E487-431C-946E-7E48A92B041D}"/>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E487-431C-946E-7E48A92B041D}"/>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9434383994733346"/>
          <c:w val="0.37432554168959981"/>
          <c:h val="0.10565616005266633"/>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Greece!$A$10:$A$30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Greece!$E$10:$E$30</c:f>
              <c:numCache>
                <c:formatCode>0.0</c:formatCode>
                <c:ptCount val="21"/>
                <c:pt idx="0">
                  <c:v>1.1989624767245821</c:v>
                </c:pt>
                <c:pt idx="1">
                  <c:v>0.65801943466396529</c:v>
                </c:pt>
                <c:pt idx="2">
                  <c:v>1.1007490123405077</c:v>
                </c:pt>
                <c:pt idx="3">
                  <c:v>2.1375952367084965</c:v>
                </c:pt>
                <c:pt idx="4">
                  <c:v>0.74859480402198952</c:v>
                </c:pt>
                <c:pt idx="5">
                  <c:v>0.48334809579536564</c:v>
                </c:pt>
                <c:pt idx="6">
                  <c:v>0.39121108722079112</c:v>
                </c:pt>
                <c:pt idx="7">
                  <c:v>-1.1461231643214371</c:v>
                </c:pt>
                <c:pt idx="8">
                  <c:v>-3.6579362643704552</c:v>
                </c:pt>
                <c:pt idx="9">
                  <c:v>-2.2381176095521109</c:v>
                </c:pt>
                <c:pt idx="10">
                  <c:v>-1.3822064061611266</c:v>
                </c:pt>
                <c:pt idx="11">
                  <c:v>-0.16540247450659837</c:v>
                </c:pt>
                <c:pt idx="12">
                  <c:v>0.71335288479044012</c:v>
                </c:pt>
                <c:pt idx="13">
                  <c:v>-2.3667607832215851</c:v>
                </c:pt>
                <c:pt idx="14">
                  <c:v>2.3361871648640462</c:v>
                </c:pt>
                <c:pt idx="15">
                  <c:v>-0.18541089776185868</c:v>
                </c:pt>
                <c:pt idx="16">
                  <c:v>3.2355324687833411</c:v>
                </c:pt>
                <c:pt idx="17">
                  <c:v>-4.9801711744588015E-2</c:v>
                </c:pt>
                <c:pt idx="18">
                  <c:v>-7.9386913633396166</c:v>
                </c:pt>
                <c:pt idx="19">
                  <c:v>7.4264024546030258</c:v>
                </c:pt>
                <c:pt idx="20">
                  <c:v>2.3615643318297521</c:v>
                </c:pt>
              </c:numCache>
            </c:numRef>
          </c:val>
          <c:extLst>
            <c:ext xmlns:c16="http://schemas.microsoft.com/office/drawing/2014/chart" uri="{C3380CC4-5D6E-409C-BE32-E72D297353CC}">
              <c16:uniqueId val="{00000000-A6A4-4BCE-B306-97BBAE869948}"/>
            </c:ext>
          </c:extLst>
        </c:ser>
        <c:ser>
          <c:idx val="3"/>
          <c:order val="2"/>
          <c:tx>
            <c:v>Capital stock</c:v>
          </c:tx>
          <c:spPr>
            <a:solidFill>
              <a:srgbClr val="1E88E5"/>
            </a:solidFill>
            <a:ln>
              <a:noFill/>
            </a:ln>
            <a:effectLst/>
          </c:spPr>
          <c:invertIfNegative val="0"/>
          <c:cat>
            <c:numRef>
              <c:f>Greece!$A$10:$A$30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Greece!$F$10:$F$30</c:f>
              <c:numCache>
                <c:formatCode>0.0</c:formatCode>
                <c:ptCount val="21"/>
                <c:pt idx="0">
                  <c:v>1.1575729842274092</c:v>
                </c:pt>
                <c:pt idx="1">
                  <c:v>1.48705893369002</c:v>
                </c:pt>
                <c:pt idx="2">
                  <c:v>1.4388147245009708</c:v>
                </c:pt>
                <c:pt idx="3">
                  <c:v>0.9603103599813767</c:v>
                </c:pt>
                <c:pt idx="4">
                  <c:v>1.4513395778555556</c:v>
                </c:pt>
                <c:pt idx="5">
                  <c:v>1.6952571831680068</c:v>
                </c:pt>
                <c:pt idx="6">
                  <c:v>1.3238710861126624</c:v>
                </c:pt>
                <c:pt idx="7">
                  <c:v>0.75460932710718465</c:v>
                </c:pt>
                <c:pt idx="8">
                  <c:v>-0.18383546965454384</c:v>
                </c:pt>
                <c:pt idx="9">
                  <c:v>-0.56675220363489842</c:v>
                </c:pt>
                <c:pt idx="10">
                  <c:v>-0.66483990361114598</c:v>
                </c:pt>
                <c:pt idx="11">
                  <c:v>-0.79656844005142535</c:v>
                </c:pt>
                <c:pt idx="12">
                  <c:v>-0.75393266882111654</c:v>
                </c:pt>
                <c:pt idx="13">
                  <c:v>-0.77150988313979185</c:v>
                </c:pt>
                <c:pt idx="14">
                  <c:v>-0.77167343739127237</c:v>
                </c:pt>
                <c:pt idx="15">
                  <c:v>-0.65917633140648624</c:v>
                </c:pt>
                <c:pt idx="16">
                  <c:v>-0.80300645355688294</c:v>
                </c:pt>
                <c:pt idx="17">
                  <c:v>-0.8320220432346106</c:v>
                </c:pt>
                <c:pt idx="18">
                  <c:v>-0.703854168335599</c:v>
                </c:pt>
                <c:pt idx="19">
                  <c:v>-0.47032058765328077</c:v>
                </c:pt>
                <c:pt idx="20">
                  <c:v>-0.26056174817852146</c:v>
                </c:pt>
              </c:numCache>
            </c:numRef>
          </c:val>
          <c:extLst>
            <c:ext xmlns:c16="http://schemas.microsoft.com/office/drawing/2014/chart" uri="{C3380CC4-5D6E-409C-BE32-E72D297353CC}">
              <c16:uniqueId val="{00000001-A6A4-4BCE-B306-97BBAE869948}"/>
            </c:ext>
          </c:extLst>
        </c:ser>
        <c:ser>
          <c:idx val="0"/>
          <c:order val="3"/>
          <c:tx>
            <c:v>MFP</c:v>
          </c:tx>
          <c:spPr>
            <a:solidFill>
              <a:srgbClr val="D81B22"/>
            </a:solidFill>
            <a:ln>
              <a:noFill/>
            </a:ln>
            <a:effectLst/>
          </c:spPr>
          <c:invertIfNegative val="0"/>
          <c:cat>
            <c:numRef>
              <c:f>Greece!$A$10:$A$30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Greece!$C$10:$C$30</c:f>
              <c:numCache>
                <c:formatCode>0.0</c:formatCode>
                <c:ptCount val="21"/>
                <c:pt idx="0">
                  <c:v>2.2475387887727409</c:v>
                </c:pt>
                <c:pt idx="1">
                  <c:v>3.8281443250611957</c:v>
                </c:pt>
                <c:pt idx="2">
                  <c:v>3.4735131524734379</c:v>
                </c:pt>
                <c:pt idx="3">
                  <c:v>-2.0366321616158451</c:v>
                </c:pt>
                <c:pt idx="4">
                  <c:v>2.9116336542932215</c:v>
                </c:pt>
                <c:pt idx="5">
                  <c:v>0.73710833917769669</c:v>
                </c:pt>
                <c:pt idx="6">
                  <c:v>-1.4220240357086849</c:v>
                </c:pt>
                <c:pt idx="7">
                  <c:v>-2.9494286726475805</c:v>
                </c:pt>
                <c:pt idx="8">
                  <c:v>-2.1688474914143074</c:v>
                </c:pt>
                <c:pt idx="9">
                  <c:v>-6.4886557082330558</c:v>
                </c:pt>
                <c:pt idx="10">
                  <c:v>-5.4236044571987048</c:v>
                </c:pt>
                <c:pt idx="11">
                  <c:v>-0.7171513796647554</c:v>
                </c:pt>
                <c:pt idx="12">
                  <c:v>0.15606845211667097</c:v>
                </c:pt>
                <c:pt idx="13">
                  <c:v>3.1453216503145267</c:v>
                </c:pt>
                <c:pt idx="14">
                  <c:v>-1.9120053616845234</c:v>
                </c:pt>
                <c:pt idx="15">
                  <c:v>3.0657464138308916</c:v>
                </c:pt>
                <c:pt idx="16">
                  <c:v>-0.72117197414976231</c:v>
                </c:pt>
                <c:pt idx="17">
                  <c:v>2.6380989675128075</c:v>
                </c:pt>
                <c:pt idx="18">
                  <c:v>-0.89690220671853149</c:v>
                </c:pt>
                <c:pt idx="19">
                  <c:v>0.85584073344923439</c:v>
                </c:pt>
                <c:pt idx="20">
                  <c:v>3.0590937145902037</c:v>
                </c:pt>
              </c:numCache>
            </c:numRef>
          </c:val>
          <c:extLst>
            <c:ext xmlns:c16="http://schemas.microsoft.com/office/drawing/2014/chart" uri="{C3380CC4-5D6E-409C-BE32-E72D297353CC}">
              <c16:uniqueId val="{00000002-A6A4-4BCE-B306-97BBAE869948}"/>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Greece!$D$10:$D$30</c:f>
              <c:numCache>
                <c:formatCode>0.0</c:formatCode>
                <c:ptCount val="21"/>
                <c:pt idx="0">
                  <c:v>4.6040742497247322</c:v>
                </c:pt>
                <c:pt idx="1">
                  <c:v>5.9732226934151811</c:v>
                </c:pt>
                <c:pt idx="2">
                  <c:v>6.0130768893149167</c:v>
                </c:pt>
                <c:pt idx="3">
                  <c:v>1.0612734350740283</c:v>
                </c:pt>
                <c:pt idx="4">
                  <c:v>5.111568036170766</c:v>
                </c:pt>
                <c:pt idx="5">
                  <c:v>2.9157136181410692</c:v>
                </c:pt>
                <c:pt idx="6">
                  <c:v>0.29305813762476873</c:v>
                </c:pt>
                <c:pt idx="7">
                  <c:v>-3.3409425098618328</c:v>
                </c:pt>
                <c:pt idx="8">
                  <c:v>-6.0106192254393065</c:v>
                </c:pt>
                <c:pt idx="9">
                  <c:v>-9.2935255214200652</c:v>
                </c:pt>
                <c:pt idx="10">
                  <c:v>-7.4706507669709765</c:v>
                </c:pt>
                <c:pt idx="11">
                  <c:v>-1.679122294222779</c:v>
                </c:pt>
                <c:pt idx="12">
                  <c:v>0.11548866808599456</c:v>
                </c:pt>
                <c:pt idx="13">
                  <c:v>7.0509839531496254E-3</c:v>
                </c:pt>
                <c:pt idx="14">
                  <c:v>-0.34749163421174956</c:v>
                </c:pt>
                <c:pt idx="15">
                  <c:v>2.2211591846625467</c:v>
                </c:pt>
                <c:pt idx="16">
                  <c:v>1.7113540410766959</c:v>
                </c:pt>
                <c:pt idx="17">
                  <c:v>1.756275212533609</c:v>
                </c:pt>
                <c:pt idx="18">
                  <c:v>-9.539447738393747</c:v>
                </c:pt>
                <c:pt idx="19">
                  <c:v>7.8119226003989795</c:v>
                </c:pt>
                <c:pt idx="20">
                  <c:v>5.1600962982414345</c:v>
                </c:pt>
              </c:numCache>
            </c:numRef>
          </c:val>
          <c:smooth val="0"/>
          <c:extLst>
            <c:ext xmlns:c16="http://schemas.microsoft.com/office/drawing/2014/chart" uri="{C3380CC4-5D6E-409C-BE32-E72D297353CC}">
              <c16:uniqueId val="{00000003-A6A4-4BCE-B306-97BBAE869948}"/>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Spain!$A$10:$A$30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Spain!$C$10:$C$30</c:f>
              <c:numCache>
                <c:formatCode>0.0</c:formatCode>
                <c:ptCount val="21"/>
                <c:pt idx="0">
                  <c:v>-0.40857180510941538</c:v>
                </c:pt>
                <c:pt idx="1">
                  <c:v>-0.53852682036438315</c:v>
                </c:pt>
                <c:pt idx="2">
                  <c:v>-0.49426509895227411</c:v>
                </c:pt>
                <c:pt idx="3">
                  <c:v>-0.30124572460858312</c:v>
                </c:pt>
                <c:pt idx="4">
                  <c:v>0.27860615187265636</c:v>
                </c:pt>
                <c:pt idx="5">
                  <c:v>0.69245103274204833</c:v>
                </c:pt>
                <c:pt idx="6">
                  <c:v>-0.69865265373500041</c:v>
                </c:pt>
                <c:pt idx="7">
                  <c:v>-0.19339981721234567</c:v>
                </c:pt>
                <c:pt idx="8">
                  <c:v>0.64155542638738672</c:v>
                </c:pt>
                <c:pt idx="9">
                  <c:v>0.64915950661268473</c:v>
                </c:pt>
                <c:pt idx="10">
                  <c:v>-3.265275491614289E-2</c:v>
                </c:pt>
                <c:pt idx="11">
                  <c:v>0.29490216804421365</c:v>
                </c:pt>
                <c:pt idx="12">
                  <c:v>0.17009358974058203</c:v>
                </c:pt>
                <c:pt idx="13">
                  <c:v>1.3092634623348911</c:v>
                </c:pt>
                <c:pt idx="14">
                  <c:v>0.72758842139657098</c:v>
                </c:pt>
                <c:pt idx="15">
                  <c:v>1.2466467214921146</c:v>
                </c:pt>
                <c:pt idx="16">
                  <c:v>0.39638301591502312</c:v>
                </c:pt>
                <c:pt idx="17">
                  <c:v>0.39698135981253357</c:v>
                </c:pt>
                <c:pt idx="18">
                  <c:v>-4.3374108431452321</c:v>
                </c:pt>
                <c:pt idx="19">
                  <c:v>1.1456951423844755</c:v>
                </c:pt>
                <c:pt idx="20">
                  <c:v>3.1556900948731603</c:v>
                </c:pt>
              </c:numCache>
            </c:numRef>
          </c:val>
          <c:smooth val="0"/>
          <c:extLst>
            <c:ext xmlns:c16="http://schemas.microsoft.com/office/drawing/2014/chart" uri="{C3380CC4-5D6E-409C-BE32-E72D297353CC}">
              <c16:uniqueId val="{00000001-9B56-4C3C-9BEB-C47A978E945A}"/>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9B56-4C3C-9BEB-C47A978E945A}"/>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90596248987484973"/>
          <c:w val="0.42425421501342292"/>
          <c:h val="9.4037510125150256E-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Spain!$A$10:$A$30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Spain!$E$10:$E$30</c:f>
              <c:numCache>
                <c:formatCode>0.0</c:formatCode>
                <c:ptCount val="21"/>
                <c:pt idx="0">
                  <c:v>1.6338969314570568</c:v>
                </c:pt>
                <c:pt idx="1">
                  <c:v>1.6687906487389754</c:v>
                </c:pt>
                <c:pt idx="2">
                  <c:v>1.7492043915778546</c:v>
                </c:pt>
                <c:pt idx="3">
                  <c:v>2.0234178458602461</c:v>
                </c:pt>
                <c:pt idx="4">
                  <c:v>2.1687222997682425</c:v>
                </c:pt>
                <c:pt idx="5">
                  <c:v>1.5717584076084092</c:v>
                </c:pt>
                <c:pt idx="6">
                  <c:v>0.4293199852055764</c:v>
                </c:pt>
                <c:pt idx="7">
                  <c:v>-3.9475270227220824</c:v>
                </c:pt>
                <c:pt idx="8">
                  <c:v>-1.4745200364345659</c:v>
                </c:pt>
                <c:pt idx="9">
                  <c:v>-1.3707127341157406</c:v>
                </c:pt>
                <c:pt idx="10">
                  <c:v>-3.1027560182391514</c:v>
                </c:pt>
                <c:pt idx="11">
                  <c:v>-1.7914624300002737</c:v>
                </c:pt>
                <c:pt idx="12">
                  <c:v>0.6440770006553812</c:v>
                </c:pt>
                <c:pt idx="13">
                  <c:v>1.8395213426020247</c:v>
                </c:pt>
                <c:pt idx="14">
                  <c:v>1.5602306234149388</c:v>
                </c:pt>
                <c:pt idx="15">
                  <c:v>1.2991077818086769</c:v>
                </c:pt>
                <c:pt idx="16">
                  <c:v>1.4927660977537571</c:v>
                </c:pt>
                <c:pt idx="17">
                  <c:v>1.0644552636296327</c:v>
                </c:pt>
                <c:pt idx="18">
                  <c:v>-7.4976856100144529</c:v>
                </c:pt>
                <c:pt idx="19">
                  <c:v>4.6020706802343687</c:v>
                </c:pt>
                <c:pt idx="20">
                  <c:v>3.0120432735924454</c:v>
                </c:pt>
              </c:numCache>
            </c:numRef>
          </c:val>
          <c:extLst>
            <c:ext xmlns:c16="http://schemas.microsoft.com/office/drawing/2014/chart" uri="{C3380CC4-5D6E-409C-BE32-E72D297353CC}">
              <c16:uniqueId val="{00000000-458E-4EFD-BA63-493F3894EC3B}"/>
            </c:ext>
          </c:extLst>
        </c:ser>
        <c:ser>
          <c:idx val="3"/>
          <c:order val="2"/>
          <c:tx>
            <c:v>Capital stock</c:v>
          </c:tx>
          <c:spPr>
            <a:solidFill>
              <a:srgbClr val="1E88E5"/>
            </a:solidFill>
            <a:ln>
              <a:noFill/>
            </a:ln>
            <a:effectLst/>
          </c:spPr>
          <c:invertIfNegative val="0"/>
          <c:cat>
            <c:numRef>
              <c:f>Spain!$A$10:$A$30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Spain!$F$10:$F$30</c:f>
              <c:numCache>
                <c:formatCode>0.0</c:formatCode>
                <c:ptCount val="21"/>
                <c:pt idx="0">
                  <c:v>1.4162610027254843</c:v>
                </c:pt>
                <c:pt idx="1">
                  <c:v>1.497710926388204</c:v>
                </c:pt>
                <c:pt idx="2">
                  <c:v>1.5086666537189246</c:v>
                </c:pt>
                <c:pt idx="3">
                  <c:v>1.5766461211342073</c:v>
                </c:pt>
                <c:pt idx="4">
                  <c:v>1.6502290921538509</c:v>
                </c:pt>
                <c:pt idx="5">
                  <c:v>1.6293008589986879</c:v>
                </c:pt>
                <c:pt idx="6">
                  <c:v>1.3667953037099367</c:v>
                </c:pt>
                <c:pt idx="7">
                  <c:v>0.82014792747128773</c:v>
                </c:pt>
                <c:pt idx="8">
                  <c:v>0.65750959536778597</c:v>
                </c:pt>
                <c:pt idx="9">
                  <c:v>0.46975054794263577</c:v>
                </c:pt>
                <c:pt idx="10">
                  <c:v>0.30848276845255979</c:v>
                </c:pt>
                <c:pt idx="11">
                  <c:v>0.21195255619401812</c:v>
                </c:pt>
                <c:pt idx="12">
                  <c:v>0.26115835811191773</c:v>
                </c:pt>
                <c:pt idx="13">
                  <c:v>0.32730083490091794</c:v>
                </c:pt>
                <c:pt idx="14">
                  <c:v>0.33283119111628079</c:v>
                </c:pt>
                <c:pt idx="15">
                  <c:v>0.43455264420128997</c:v>
                </c:pt>
                <c:pt idx="16">
                  <c:v>0.53483901500194853</c:v>
                </c:pt>
                <c:pt idx="17">
                  <c:v>0.58967455955111525</c:v>
                </c:pt>
                <c:pt idx="18">
                  <c:v>0.33398343987918966</c:v>
                </c:pt>
                <c:pt idx="19">
                  <c:v>0.34552511307135458</c:v>
                </c:pt>
                <c:pt idx="20">
                  <c:v>0.31707485003383246</c:v>
                </c:pt>
              </c:numCache>
            </c:numRef>
          </c:val>
          <c:extLst>
            <c:ext xmlns:c16="http://schemas.microsoft.com/office/drawing/2014/chart" uri="{C3380CC4-5D6E-409C-BE32-E72D297353CC}">
              <c16:uniqueId val="{00000001-458E-4EFD-BA63-493F3894EC3B}"/>
            </c:ext>
          </c:extLst>
        </c:ser>
        <c:ser>
          <c:idx val="0"/>
          <c:order val="3"/>
          <c:tx>
            <c:v>MFP</c:v>
          </c:tx>
          <c:spPr>
            <a:solidFill>
              <a:srgbClr val="D81B22"/>
            </a:solidFill>
            <a:ln>
              <a:noFill/>
            </a:ln>
            <a:effectLst/>
          </c:spPr>
          <c:invertIfNegative val="0"/>
          <c:cat>
            <c:numRef>
              <c:f>Spain!$A$10:$A$30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Spain!$C$10:$C$30</c:f>
              <c:numCache>
                <c:formatCode>0.0</c:formatCode>
                <c:ptCount val="21"/>
                <c:pt idx="0">
                  <c:v>-0.40857180510941538</c:v>
                </c:pt>
                <c:pt idx="1">
                  <c:v>-0.53852682036438315</c:v>
                </c:pt>
                <c:pt idx="2">
                  <c:v>-0.49426509895227411</c:v>
                </c:pt>
                <c:pt idx="3">
                  <c:v>-0.30124572460858312</c:v>
                </c:pt>
                <c:pt idx="4">
                  <c:v>0.27860615187265636</c:v>
                </c:pt>
                <c:pt idx="5">
                  <c:v>0.69245103274204833</c:v>
                </c:pt>
                <c:pt idx="6">
                  <c:v>-0.69865265373500041</c:v>
                </c:pt>
                <c:pt idx="7">
                  <c:v>-0.19339981721234567</c:v>
                </c:pt>
                <c:pt idx="8">
                  <c:v>0.64155542638738672</c:v>
                </c:pt>
                <c:pt idx="9">
                  <c:v>0.64915950661268473</c:v>
                </c:pt>
                <c:pt idx="10">
                  <c:v>-3.265275491614289E-2</c:v>
                </c:pt>
                <c:pt idx="11">
                  <c:v>0.29490216804421365</c:v>
                </c:pt>
                <c:pt idx="12">
                  <c:v>0.17009358974058203</c:v>
                </c:pt>
                <c:pt idx="13">
                  <c:v>1.3092634623348911</c:v>
                </c:pt>
                <c:pt idx="14">
                  <c:v>0.72758842139657098</c:v>
                </c:pt>
                <c:pt idx="15">
                  <c:v>1.2466467214921146</c:v>
                </c:pt>
                <c:pt idx="16">
                  <c:v>0.39638301591502312</c:v>
                </c:pt>
                <c:pt idx="17">
                  <c:v>0.39698135981253357</c:v>
                </c:pt>
                <c:pt idx="18">
                  <c:v>-4.3374108431452321</c:v>
                </c:pt>
                <c:pt idx="19">
                  <c:v>1.1456951423844755</c:v>
                </c:pt>
                <c:pt idx="20">
                  <c:v>3.1556900948731603</c:v>
                </c:pt>
              </c:numCache>
            </c:numRef>
          </c:val>
          <c:extLst>
            <c:ext xmlns:c16="http://schemas.microsoft.com/office/drawing/2014/chart" uri="{C3380CC4-5D6E-409C-BE32-E72D297353CC}">
              <c16:uniqueId val="{00000002-458E-4EFD-BA63-493F3894EC3B}"/>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Spain!$D$10:$D$30</c:f>
              <c:numCache>
                <c:formatCode>0.0</c:formatCode>
                <c:ptCount val="21"/>
                <c:pt idx="0">
                  <c:v>2.6415861290731257</c:v>
                </c:pt>
                <c:pt idx="1">
                  <c:v>2.6279747547627963</c:v>
                </c:pt>
                <c:pt idx="2">
                  <c:v>2.7636059463445051</c:v>
                </c:pt>
                <c:pt idx="3">
                  <c:v>3.2988182423858703</c:v>
                </c:pt>
                <c:pt idx="4">
                  <c:v>4.0975575437947498</c:v>
                </c:pt>
                <c:pt idx="5">
                  <c:v>3.8935102993491455</c:v>
                </c:pt>
                <c:pt idx="6">
                  <c:v>1.0974626351805128</c:v>
                </c:pt>
                <c:pt idx="7">
                  <c:v>-3.3207789124631404</c:v>
                </c:pt>
                <c:pt idx="8">
                  <c:v>-0.17545501467939317</c:v>
                </c:pt>
                <c:pt idx="9">
                  <c:v>-0.25180267956042002</c:v>
                </c:pt>
                <c:pt idx="10">
                  <c:v>-2.8269260047027345</c:v>
                </c:pt>
                <c:pt idx="11">
                  <c:v>-1.284607705762042</c:v>
                </c:pt>
                <c:pt idx="12">
                  <c:v>1.075328948507881</c:v>
                </c:pt>
                <c:pt idx="13">
                  <c:v>3.4760856398378337</c:v>
                </c:pt>
                <c:pt idx="14">
                  <c:v>2.6206502359277906</c:v>
                </c:pt>
                <c:pt idx="15">
                  <c:v>2.9803071475020815</c:v>
                </c:pt>
                <c:pt idx="16">
                  <c:v>2.4239881286707288</c:v>
                </c:pt>
                <c:pt idx="17">
                  <c:v>2.0511111829932815</c:v>
                </c:pt>
                <c:pt idx="18">
                  <c:v>-11.501113013280495</c:v>
                </c:pt>
                <c:pt idx="19">
                  <c:v>6.0932909356901988</c:v>
                </c:pt>
                <c:pt idx="20">
                  <c:v>6.4848082184994382</c:v>
                </c:pt>
              </c:numCache>
            </c:numRef>
          </c:val>
          <c:smooth val="0"/>
          <c:extLst>
            <c:ext xmlns:c16="http://schemas.microsoft.com/office/drawing/2014/chart" uri="{C3380CC4-5D6E-409C-BE32-E72D297353CC}">
              <c16:uniqueId val="{00000003-458E-4EFD-BA63-493F3894EC3B}"/>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France!$A$10:$A$30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France!$C$10:$C$30</c:f>
              <c:numCache>
                <c:formatCode>0.0</c:formatCode>
                <c:ptCount val="21"/>
                <c:pt idx="0">
                  <c:v>1.5963724393847927</c:v>
                </c:pt>
                <c:pt idx="1">
                  <c:v>9.8858753595469473E-2</c:v>
                </c:pt>
                <c:pt idx="2">
                  <c:v>1.2285762762962653</c:v>
                </c:pt>
                <c:pt idx="3">
                  <c:v>0.57283596612060828</c:v>
                </c:pt>
                <c:pt idx="4">
                  <c:v>1.9450764705913484</c:v>
                </c:pt>
                <c:pt idx="5">
                  <c:v>-9.3591226568529251E-2</c:v>
                </c:pt>
                <c:pt idx="6">
                  <c:v>-0.7170537757242762</c:v>
                </c:pt>
                <c:pt idx="7">
                  <c:v>-1.8063795153479332</c:v>
                </c:pt>
                <c:pt idx="8">
                  <c:v>0.9169267710936746</c:v>
                </c:pt>
                <c:pt idx="9">
                  <c:v>1.2589818218474724</c:v>
                </c:pt>
                <c:pt idx="10">
                  <c:v>4.9687204987194922E-3</c:v>
                </c:pt>
                <c:pt idx="11">
                  <c:v>1.0056895993457886</c:v>
                </c:pt>
                <c:pt idx="12">
                  <c:v>0.85347150400189498</c:v>
                </c:pt>
                <c:pt idx="13">
                  <c:v>0.28821219672116394</c:v>
                </c:pt>
                <c:pt idx="14">
                  <c:v>-0.34980109884955807</c:v>
                </c:pt>
                <c:pt idx="15">
                  <c:v>1.4246532438715351</c:v>
                </c:pt>
                <c:pt idx="16">
                  <c:v>0.12162950907915238</c:v>
                </c:pt>
                <c:pt idx="17">
                  <c:v>0.57373609690467342</c:v>
                </c:pt>
                <c:pt idx="18">
                  <c:v>-2.3547612213676508</c:v>
                </c:pt>
                <c:pt idx="19">
                  <c:v>0.25734091144432986</c:v>
                </c:pt>
                <c:pt idx="20">
                  <c:v>-0.56865396233333043</c:v>
                </c:pt>
              </c:numCache>
            </c:numRef>
          </c:val>
          <c:smooth val="0"/>
          <c:extLst>
            <c:ext xmlns:c16="http://schemas.microsoft.com/office/drawing/2014/chart" uri="{C3380CC4-5D6E-409C-BE32-E72D297353CC}">
              <c16:uniqueId val="{00000001-803B-4FA5-9D74-FB758027132A}"/>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803B-4FA5-9D74-FB758027132A}"/>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6645908012129502"/>
          <c:w val="0.41426848034865821"/>
          <c:h val="0.13354091987870495"/>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France!$A$10:$A$30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France!$E$10:$E$30</c:f>
              <c:numCache>
                <c:formatCode>0.0</c:formatCode>
                <c:ptCount val="21"/>
                <c:pt idx="0">
                  <c:v>-1.1740461530385107</c:v>
                </c:pt>
                <c:pt idx="1">
                  <c:v>0.19040516075676317</c:v>
                </c:pt>
                <c:pt idx="2">
                  <c:v>1.173578839189743</c:v>
                </c:pt>
                <c:pt idx="3">
                  <c:v>0.52618152345215119</c:v>
                </c:pt>
                <c:pt idx="4">
                  <c:v>5.4730541222815947E-2</c:v>
                </c:pt>
                <c:pt idx="5">
                  <c:v>1.9455898868027488</c:v>
                </c:pt>
                <c:pt idx="6">
                  <c:v>0.62876180294892592</c:v>
                </c:pt>
                <c:pt idx="7">
                  <c:v>-1.2948216658703471</c:v>
                </c:pt>
                <c:pt idx="8">
                  <c:v>0.42812733616832865</c:v>
                </c:pt>
                <c:pt idx="9">
                  <c:v>0.78579660843116317</c:v>
                </c:pt>
                <c:pt idx="10">
                  <c:v>-1.5476300515626585E-2</c:v>
                </c:pt>
                <c:pt idx="11">
                  <c:v>-0.56486405370980053</c:v>
                </c:pt>
                <c:pt idx="12">
                  <c:v>-2.4220478644709532E-2</c:v>
                </c:pt>
                <c:pt idx="13">
                  <c:v>0.18415404267841182</c:v>
                </c:pt>
                <c:pt idx="14">
                  <c:v>0.65101701378124188</c:v>
                </c:pt>
                <c:pt idx="15">
                  <c:v>0.10566299941026221</c:v>
                </c:pt>
                <c:pt idx="16">
                  <c:v>1.0698037383503387</c:v>
                </c:pt>
                <c:pt idx="17">
                  <c:v>1.044810526835771</c:v>
                </c:pt>
                <c:pt idx="18">
                  <c:v>-5.5240642676946141</c:v>
                </c:pt>
                <c:pt idx="19">
                  <c:v>5.6276809997690025</c:v>
                </c:pt>
                <c:pt idx="20">
                  <c:v>2.9677749588966407</c:v>
                </c:pt>
              </c:numCache>
            </c:numRef>
          </c:val>
          <c:extLst>
            <c:ext xmlns:c16="http://schemas.microsoft.com/office/drawing/2014/chart" uri="{C3380CC4-5D6E-409C-BE32-E72D297353CC}">
              <c16:uniqueId val="{00000000-2DE9-45D0-9BAA-010C67E9F182}"/>
            </c:ext>
          </c:extLst>
        </c:ser>
        <c:ser>
          <c:idx val="3"/>
          <c:order val="2"/>
          <c:tx>
            <c:v>Capital stock</c:v>
          </c:tx>
          <c:spPr>
            <a:solidFill>
              <a:srgbClr val="1E88E5"/>
            </a:solidFill>
            <a:ln>
              <a:noFill/>
            </a:ln>
            <a:effectLst/>
          </c:spPr>
          <c:invertIfNegative val="0"/>
          <c:cat>
            <c:numRef>
              <c:f>France!$A$10:$A$30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France!$F$10:$F$30</c:f>
              <c:numCache>
                <c:formatCode>0.0</c:formatCode>
                <c:ptCount val="21"/>
                <c:pt idx="0">
                  <c:v>0.60099896672867592</c:v>
                </c:pt>
                <c:pt idx="1">
                  <c:v>0.60111131576022858</c:v>
                </c:pt>
                <c:pt idx="2">
                  <c:v>0.62568212386417565</c:v>
                </c:pt>
                <c:pt idx="3">
                  <c:v>0.62698270355296126</c:v>
                </c:pt>
                <c:pt idx="4">
                  <c:v>0.69467633122127215</c:v>
                </c:pt>
                <c:pt idx="5">
                  <c:v>0.76356713193777259</c:v>
                </c:pt>
                <c:pt idx="6">
                  <c:v>0.71910490365169577</c:v>
                </c:pt>
                <c:pt idx="7">
                  <c:v>0.44669263133085596</c:v>
                </c:pt>
                <c:pt idx="8">
                  <c:v>0.43357511253409858</c:v>
                </c:pt>
                <c:pt idx="9">
                  <c:v>0.45810504218522152</c:v>
                </c:pt>
                <c:pt idx="10">
                  <c:v>0.40668720862358143</c:v>
                </c:pt>
                <c:pt idx="11">
                  <c:v>0.38024539185563122</c:v>
                </c:pt>
                <c:pt idx="12">
                  <c:v>0.36325887923282579</c:v>
                </c:pt>
                <c:pt idx="13">
                  <c:v>0.34373905068571364</c:v>
                </c:pt>
                <c:pt idx="14">
                  <c:v>0.37620356466137167</c:v>
                </c:pt>
                <c:pt idx="15">
                  <c:v>0.40592060411845488</c:v>
                </c:pt>
                <c:pt idx="16">
                  <c:v>0.418363114232295</c:v>
                </c:pt>
                <c:pt idx="17">
                  <c:v>0.4655176793857318</c:v>
                </c:pt>
                <c:pt idx="18">
                  <c:v>0.30197002546942936</c:v>
                </c:pt>
                <c:pt idx="19">
                  <c:v>0.45271351606369242</c:v>
                </c:pt>
                <c:pt idx="20">
                  <c:v>0.53163793774543122</c:v>
                </c:pt>
              </c:numCache>
            </c:numRef>
          </c:val>
          <c:extLst>
            <c:ext xmlns:c16="http://schemas.microsoft.com/office/drawing/2014/chart" uri="{C3380CC4-5D6E-409C-BE32-E72D297353CC}">
              <c16:uniqueId val="{00000001-2DE9-45D0-9BAA-010C67E9F182}"/>
            </c:ext>
          </c:extLst>
        </c:ser>
        <c:ser>
          <c:idx val="0"/>
          <c:order val="3"/>
          <c:tx>
            <c:v>MFP</c:v>
          </c:tx>
          <c:spPr>
            <a:solidFill>
              <a:srgbClr val="D81B22"/>
            </a:solidFill>
            <a:ln>
              <a:noFill/>
            </a:ln>
            <a:effectLst/>
          </c:spPr>
          <c:invertIfNegative val="0"/>
          <c:cat>
            <c:numRef>
              <c:f>France!$A$10:$A$30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France!$C$10:$C$30</c:f>
              <c:numCache>
                <c:formatCode>0.0</c:formatCode>
                <c:ptCount val="21"/>
                <c:pt idx="0">
                  <c:v>1.5963724393847927</c:v>
                </c:pt>
                <c:pt idx="1">
                  <c:v>9.8858753595469473E-2</c:v>
                </c:pt>
                <c:pt idx="2">
                  <c:v>1.2285762762962653</c:v>
                </c:pt>
                <c:pt idx="3">
                  <c:v>0.57283596612060828</c:v>
                </c:pt>
                <c:pt idx="4">
                  <c:v>1.9450764705913484</c:v>
                </c:pt>
                <c:pt idx="5">
                  <c:v>-9.3591226568529251E-2</c:v>
                </c:pt>
                <c:pt idx="6">
                  <c:v>-0.7170537757242762</c:v>
                </c:pt>
                <c:pt idx="7">
                  <c:v>-1.8063795153479332</c:v>
                </c:pt>
                <c:pt idx="8">
                  <c:v>0.9169267710936746</c:v>
                </c:pt>
                <c:pt idx="9">
                  <c:v>1.2589818218474724</c:v>
                </c:pt>
                <c:pt idx="10">
                  <c:v>4.9687204987194922E-3</c:v>
                </c:pt>
                <c:pt idx="11">
                  <c:v>1.0056895993457886</c:v>
                </c:pt>
                <c:pt idx="12">
                  <c:v>0.85347150400189498</c:v>
                </c:pt>
                <c:pt idx="13">
                  <c:v>0.28821219672116394</c:v>
                </c:pt>
                <c:pt idx="14">
                  <c:v>-0.34980109884955807</c:v>
                </c:pt>
                <c:pt idx="15">
                  <c:v>1.4246532438715351</c:v>
                </c:pt>
                <c:pt idx="16">
                  <c:v>0.12162950907915238</c:v>
                </c:pt>
                <c:pt idx="17">
                  <c:v>0.57373609690467342</c:v>
                </c:pt>
                <c:pt idx="18">
                  <c:v>-2.3547612213676508</c:v>
                </c:pt>
                <c:pt idx="19">
                  <c:v>0.25734091144432986</c:v>
                </c:pt>
                <c:pt idx="20">
                  <c:v>-0.56865396233333043</c:v>
                </c:pt>
              </c:numCache>
            </c:numRef>
          </c:val>
          <c:extLst>
            <c:ext xmlns:c16="http://schemas.microsoft.com/office/drawing/2014/chart" uri="{C3380CC4-5D6E-409C-BE32-E72D297353CC}">
              <c16:uniqueId val="{00000002-2DE9-45D0-9BAA-010C67E9F182}"/>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France!$D$10:$D$30</c:f>
              <c:numCache>
                <c:formatCode>0.0</c:formatCode>
                <c:ptCount val="21"/>
                <c:pt idx="0">
                  <c:v>1.0233252530749581</c:v>
                </c:pt>
                <c:pt idx="1">
                  <c:v>0.89037523011246122</c:v>
                </c:pt>
                <c:pt idx="2">
                  <c:v>3.027837239350184</c:v>
                </c:pt>
                <c:pt idx="3">
                  <c:v>1.7260001931257207</c:v>
                </c:pt>
                <c:pt idx="4">
                  <c:v>2.6944833430354365</c:v>
                </c:pt>
                <c:pt idx="5">
                  <c:v>2.6155657921719921</c:v>
                </c:pt>
                <c:pt idx="6">
                  <c:v>0.63081293087634549</c:v>
                </c:pt>
                <c:pt idx="7">
                  <c:v>-2.6545085498874244</c:v>
                </c:pt>
                <c:pt idx="8">
                  <c:v>1.7786292197961018</c:v>
                </c:pt>
                <c:pt idx="9">
                  <c:v>2.5028834724638571</c:v>
                </c:pt>
                <c:pt idx="10">
                  <c:v>0.39617962860667433</c:v>
                </c:pt>
                <c:pt idx="11">
                  <c:v>0.82107093749161919</c:v>
                </c:pt>
                <c:pt idx="12">
                  <c:v>1.1925099045900112</c:v>
                </c:pt>
                <c:pt idx="13">
                  <c:v>0.81610529008528943</c:v>
                </c:pt>
                <c:pt idx="14">
                  <c:v>0.67741947959305548</c:v>
                </c:pt>
                <c:pt idx="15">
                  <c:v>1.9362368474002523</c:v>
                </c:pt>
                <c:pt idx="16">
                  <c:v>1.6097963616617861</c:v>
                </c:pt>
                <c:pt idx="17">
                  <c:v>2.0840643031261763</c:v>
                </c:pt>
                <c:pt idx="18">
                  <c:v>-7.5768554635928353</c:v>
                </c:pt>
                <c:pt idx="19">
                  <c:v>6.3377354272770248</c:v>
                </c:pt>
                <c:pt idx="20">
                  <c:v>2.9307589343087415</c:v>
                </c:pt>
              </c:numCache>
            </c:numRef>
          </c:val>
          <c:smooth val="0"/>
          <c:extLst>
            <c:ext xmlns:c16="http://schemas.microsoft.com/office/drawing/2014/chart" uri="{C3380CC4-5D6E-409C-BE32-E72D297353CC}">
              <c16:uniqueId val="{00000003-2DE9-45D0-9BAA-010C67E9F182}"/>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Croatia!$A$10:$A$30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Croatia!$C$10:$C$30</c:f>
              <c:numCache>
                <c:formatCode>0.0</c:formatCode>
                <c:ptCount val="21"/>
                <c:pt idx="0">
                  <c:v>3.7147364970778791</c:v>
                </c:pt>
                <c:pt idx="1">
                  <c:v>2.5166459204258729</c:v>
                </c:pt>
                <c:pt idx="2">
                  <c:v>1.8866921228725377</c:v>
                </c:pt>
                <c:pt idx="3">
                  <c:v>1.824904946868368</c:v>
                </c:pt>
                <c:pt idx="4">
                  <c:v>0.84708559900361569</c:v>
                </c:pt>
                <c:pt idx="5">
                  <c:v>0.8677396459086828</c:v>
                </c:pt>
                <c:pt idx="6">
                  <c:v>-1.4890323785268154</c:v>
                </c:pt>
                <c:pt idx="7">
                  <c:v>-7.1516077440347932</c:v>
                </c:pt>
                <c:pt idx="8">
                  <c:v>-0.96552703643285787</c:v>
                </c:pt>
                <c:pt idx="9">
                  <c:v>2.367883718236353</c:v>
                </c:pt>
                <c:pt idx="10">
                  <c:v>-0.98501802160821506</c:v>
                </c:pt>
                <c:pt idx="11">
                  <c:v>1.234751458522608</c:v>
                </c:pt>
                <c:pt idx="12">
                  <c:v>-3.3860324913364925</c:v>
                </c:pt>
                <c:pt idx="13">
                  <c:v>2.1565106165582875</c:v>
                </c:pt>
                <c:pt idx="14">
                  <c:v>2.7436419463932</c:v>
                </c:pt>
                <c:pt idx="15">
                  <c:v>1.5889460287023009</c:v>
                </c:pt>
                <c:pt idx="16">
                  <c:v>0.85118686134527033</c:v>
                </c:pt>
                <c:pt idx="17">
                  <c:v>-3.2170823611608568</c:v>
                </c:pt>
                <c:pt idx="18">
                  <c:v>-6.9624959327651137</c:v>
                </c:pt>
                <c:pt idx="19">
                  <c:v>10.311737084244259</c:v>
                </c:pt>
                <c:pt idx="20">
                  <c:v>6.9864849000721527</c:v>
                </c:pt>
              </c:numCache>
            </c:numRef>
          </c:val>
          <c:smooth val="0"/>
          <c:extLst>
            <c:ext xmlns:c16="http://schemas.microsoft.com/office/drawing/2014/chart" uri="{C3380CC4-5D6E-409C-BE32-E72D297353CC}">
              <c16:uniqueId val="{00000001-E017-43BB-84AF-852B6D39DBF7}"/>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E017-43BB-84AF-852B6D39DBF7}"/>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90596248987484973"/>
          <c:w val="0.39429701101912901"/>
          <c:h val="9.4037510125150256E-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Croatia!$A$10:$A$30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Croatia!$E$10:$E$30</c:f>
              <c:numCache>
                <c:formatCode>0.0</c:formatCode>
                <c:ptCount val="21"/>
                <c:pt idx="0">
                  <c:v>0.55528390926280258</c:v>
                </c:pt>
                <c:pt idx="1">
                  <c:v>1.8266383928685095</c:v>
                </c:pt>
                <c:pt idx="2">
                  <c:v>0.63505113635700672</c:v>
                </c:pt>
                <c:pt idx="3">
                  <c:v>0.66929994124242376</c:v>
                </c:pt>
                <c:pt idx="4">
                  <c:v>2.2698156082619079</c:v>
                </c:pt>
                <c:pt idx="5">
                  <c:v>2.2196130820880939</c:v>
                </c:pt>
                <c:pt idx="6">
                  <c:v>1.4761271012108863</c:v>
                </c:pt>
                <c:pt idx="7">
                  <c:v>-0.57338169257675253</c:v>
                </c:pt>
                <c:pt idx="8">
                  <c:v>-2.2569544135567465</c:v>
                </c:pt>
                <c:pt idx="9">
                  <c:v>-2.9110080480586702</c:v>
                </c:pt>
                <c:pt idx="10">
                  <c:v>-3.1057513059441391</c:v>
                </c:pt>
                <c:pt idx="11">
                  <c:v>-2.4494062841868982</c:v>
                </c:pt>
                <c:pt idx="12">
                  <c:v>1.1014101098721496</c:v>
                </c:pt>
                <c:pt idx="13">
                  <c:v>-1.4369013105225981</c:v>
                </c:pt>
                <c:pt idx="14">
                  <c:v>0.4321392456313593</c:v>
                </c:pt>
                <c:pt idx="15">
                  <c:v>1.1671890293921983</c:v>
                </c:pt>
                <c:pt idx="16">
                  <c:v>1.1957711615169988</c:v>
                </c:pt>
                <c:pt idx="17">
                  <c:v>5.5046474661619573</c:v>
                </c:pt>
                <c:pt idx="18">
                  <c:v>-1.3127396533446134</c:v>
                </c:pt>
                <c:pt idx="19">
                  <c:v>0.61421086659266311</c:v>
                </c:pt>
                <c:pt idx="20">
                  <c:v>1.1142991227479064</c:v>
                </c:pt>
              </c:numCache>
            </c:numRef>
          </c:val>
          <c:extLst>
            <c:ext xmlns:c16="http://schemas.microsoft.com/office/drawing/2014/chart" uri="{C3380CC4-5D6E-409C-BE32-E72D297353CC}">
              <c16:uniqueId val="{00000000-AFEC-4537-A0F8-E69D6A53CAAE}"/>
            </c:ext>
          </c:extLst>
        </c:ser>
        <c:ser>
          <c:idx val="3"/>
          <c:order val="2"/>
          <c:tx>
            <c:v>Capital stock</c:v>
          </c:tx>
          <c:spPr>
            <a:solidFill>
              <a:srgbClr val="1E88E5"/>
            </a:solidFill>
            <a:ln>
              <a:noFill/>
            </a:ln>
            <a:effectLst/>
          </c:spPr>
          <c:invertIfNegative val="0"/>
          <c:cat>
            <c:numRef>
              <c:f>Croatia!$A$10:$A$30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Croatia!$F$10:$F$30</c:f>
              <c:numCache>
                <c:formatCode>0.0</c:formatCode>
                <c:ptCount val="21"/>
                <c:pt idx="0">
                  <c:v>0.89968882051529631</c:v>
                </c:pt>
                <c:pt idx="1">
                  <c:v>1.4037365852084924</c:v>
                </c:pt>
                <c:pt idx="2">
                  <c:v>1.6253062492433663</c:v>
                </c:pt>
                <c:pt idx="3">
                  <c:v>1.64579194868381</c:v>
                </c:pt>
                <c:pt idx="4">
                  <c:v>1.4892296458776186</c:v>
                </c:pt>
                <c:pt idx="5">
                  <c:v>1.7217950785259966</c:v>
                </c:pt>
                <c:pt idx="6">
                  <c:v>1.9811423760746141</c:v>
                </c:pt>
                <c:pt idx="7">
                  <c:v>1.8923002517363172</c:v>
                </c:pt>
                <c:pt idx="8">
                  <c:v>1.374660167894763</c:v>
                </c:pt>
                <c:pt idx="9">
                  <c:v>0.78531475386923444</c:v>
                </c:pt>
                <c:pt idx="10">
                  <c:v>0.70483125217203046</c:v>
                </c:pt>
                <c:pt idx="11">
                  <c:v>0.73859869467118244</c:v>
                </c:pt>
                <c:pt idx="12">
                  <c:v>1.6356014741247173</c:v>
                </c:pt>
                <c:pt idx="13">
                  <c:v>1.5148699262030725</c:v>
                </c:pt>
                <c:pt idx="14">
                  <c:v>0.26464255905621986</c:v>
                </c:pt>
                <c:pt idx="15">
                  <c:v>5.2157405289972565E-3</c:v>
                </c:pt>
                <c:pt idx="16">
                  <c:v>0.40917681686441776</c:v>
                </c:pt>
                <c:pt idx="17">
                  <c:v>0.89105937296507387</c:v>
                </c:pt>
                <c:pt idx="18">
                  <c:v>0.72225738308545329</c:v>
                </c:pt>
                <c:pt idx="19">
                  <c:v>0.13341492956722362</c:v>
                </c:pt>
                <c:pt idx="20">
                  <c:v>-6.02193388714789E-2</c:v>
                </c:pt>
              </c:numCache>
            </c:numRef>
          </c:val>
          <c:extLst>
            <c:ext xmlns:c16="http://schemas.microsoft.com/office/drawing/2014/chart" uri="{C3380CC4-5D6E-409C-BE32-E72D297353CC}">
              <c16:uniqueId val="{00000001-AFEC-4537-A0F8-E69D6A53CAAE}"/>
            </c:ext>
          </c:extLst>
        </c:ser>
        <c:ser>
          <c:idx val="0"/>
          <c:order val="3"/>
          <c:tx>
            <c:v>MFP</c:v>
          </c:tx>
          <c:spPr>
            <a:solidFill>
              <a:srgbClr val="D81B22"/>
            </a:solidFill>
            <a:ln>
              <a:noFill/>
            </a:ln>
            <a:effectLst/>
          </c:spPr>
          <c:invertIfNegative val="0"/>
          <c:cat>
            <c:numRef>
              <c:f>Croatia!$A$10:$A$30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Croatia!$C$10:$C$30</c:f>
              <c:numCache>
                <c:formatCode>0.0</c:formatCode>
                <c:ptCount val="21"/>
                <c:pt idx="0">
                  <c:v>3.7147364970778791</c:v>
                </c:pt>
                <c:pt idx="1">
                  <c:v>2.5166459204258729</c:v>
                </c:pt>
                <c:pt idx="2">
                  <c:v>1.8866921228725377</c:v>
                </c:pt>
                <c:pt idx="3">
                  <c:v>1.824904946868368</c:v>
                </c:pt>
                <c:pt idx="4">
                  <c:v>0.84708559900361569</c:v>
                </c:pt>
                <c:pt idx="5">
                  <c:v>0.8677396459086828</c:v>
                </c:pt>
                <c:pt idx="6">
                  <c:v>-1.4890323785268154</c:v>
                </c:pt>
                <c:pt idx="7">
                  <c:v>-7.1516077440347932</c:v>
                </c:pt>
                <c:pt idx="8">
                  <c:v>-0.96552703643285787</c:v>
                </c:pt>
                <c:pt idx="9">
                  <c:v>2.367883718236353</c:v>
                </c:pt>
                <c:pt idx="10">
                  <c:v>-0.98501802160821506</c:v>
                </c:pt>
                <c:pt idx="11">
                  <c:v>1.234751458522608</c:v>
                </c:pt>
                <c:pt idx="12">
                  <c:v>-3.3860324913364925</c:v>
                </c:pt>
                <c:pt idx="13">
                  <c:v>2.1565106165582875</c:v>
                </c:pt>
                <c:pt idx="14">
                  <c:v>2.7436419463932</c:v>
                </c:pt>
                <c:pt idx="15">
                  <c:v>1.5889460287023009</c:v>
                </c:pt>
                <c:pt idx="16">
                  <c:v>0.85118686134527033</c:v>
                </c:pt>
                <c:pt idx="17">
                  <c:v>-3.2170823611608568</c:v>
                </c:pt>
                <c:pt idx="18">
                  <c:v>-6.9624959327651137</c:v>
                </c:pt>
                <c:pt idx="19">
                  <c:v>10.311737084244259</c:v>
                </c:pt>
                <c:pt idx="20">
                  <c:v>6.9864849000721527</c:v>
                </c:pt>
              </c:numCache>
            </c:numRef>
          </c:val>
          <c:extLst>
            <c:ext xmlns:c16="http://schemas.microsoft.com/office/drawing/2014/chart" uri="{C3380CC4-5D6E-409C-BE32-E72D297353CC}">
              <c16:uniqueId val="{00000002-AFEC-4537-A0F8-E69D6A53CAAE}"/>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Croatia!$D$10:$D$30</c:f>
              <c:numCache>
                <c:formatCode>0.0</c:formatCode>
                <c:ptCount val="21"/>
                <c:pt idx="0">
                  <c:v>5.1697092268559786</c:v>
                </c:pt>
                <c:pt idx="1">
                  <c:v>5.7470208985028748</c:v>
                </c:pt>
                <c:pt idx="2">
                  <c:v>4.1470495084729109</c:v>
                </c:pt>
                <c:pt idx="3">
                  <c:v>4.1399968367946016</c:v>
                </c:pt>
                <c:pt idx="4">
                  <c:v>4.6061308531431422</c:v>
                </c:pt>
                <c:pt idx="5">
                  <c:v>4.8091478065227733</c:v>
                </c:pt>
                <c:pt idx="6">
                  <c:v>1.968237098758685</c:v>
                </c:pt>
                <c:pt idx="7">
                  <c:v>-5.8326891848752282</c:v>
                </c:pt>
                <c:pt idx="8">
                  <c:v>-1.8478212820948414</c:v>
                </c:pt>
                <c:pt idx="9">
                  <c:v>0.24219042404691749</c:v>
                </c:pt>
                <c:pt idx="10">
                  <c:v>-3.3859380753803237</c:v>
                </c:pt>
                <c:pt idx="11">
                  <c:v>-0.47605613099310773</c:v>
                </c:pt>
                <c:pt idx="12">
                  <c:v>-0.64902090733962581</c:v>
                </c:pt>
                <c:pt idx="13">
                  <c:v>2.2344792322387619</c:v>
                </c:pt>
                <c:pt idx="14">
                  <c:v>3.4404237510807789</c:v>
                </c:pt>
                <c:pt idx="15">
                  <c:v>2.7613507986234964</c:v>
                </c:pt>
                <c:pt idx="16">
                  <c:v>2.4561348397266869</c:v>
                </c:pt>
                <c:pt idx="17">
                  <c:v>3.1786244779661743</c:v>
                </c:pt>
                <c:pt idx="18">
                  <c:v>-7.5529782030242743</c:v>
                </c:pt>
                <c:pt idx="19">
                  <c:v>11.059362880404144</c:v>
                </c:pt>
                <c:pt idx="20">
                  <c:v>8.0405646839485811</c:v>
                </c:pt>
              </c:numCache>
            </c:numRef>
          </c:val>
          <c:smooth val="0"/>
          <c:extLst>
            <c:ext xmlns:c16="http://schemas.microsoft.com/office/drawing/2014/chart" uri="{C3380CC4-5D6E-409C-BE32-E72D297353CC}">
              <c16:uniqueId val="{00000003-AFEC-4537-A0F8-E69D6A53CAAE}"/>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Italy!$A$10:$A$30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Italy!$C$10:$C$30</c:f>
              <c:numCache>
                <c:formatCode>0.0</c:formatCode>
                <c:ptCount val="21"/>
                <c:pt idx="0">
                  <c:v>-0.97563603986844227</c:v>
                </c:pt>
                <c:pt idx="1">
                  <c:v>-1.1065106415420676</c:v>
                </c:pt>
                <c:pt idx="2">
                  <c:v>0.62987464241813285</c:v>
                </c:pt>
                <c:pt idx="3">
                  <c:v>-7.8997771989584908E-2</c:v>
                </c:pt>
                <c:pt idx="4">
                  <c:v>-3.2342479876226626E-2</c:v>
                </c:pt>
                <c:pt idx="5">
                  <c:v>-5.3304457015438511E-2</c:v>
                </c:pt>
                <c:pt idx="6">
                  <c:v>-1.1216278625132006</c:v>
                </c:pt>
                <c:pt idx="7">
                  <c:v>-3.6743618248003882</c:v>
                </c:pt>
                <c:pt idx="8">
                  <c:v>1.929077144922317</c:v>
                </c:pt>
                <c:pt idx="9">
                  <c:v>0.62166360941265497</c:v>
                </c:pt>
                <c:pt idx="10">
                  <c:v>-1.2074488416989895</c:v>
                </c:pt>
                <c:pt idx="11">
                  <c:v>0.34999923942686451</c:v>
                </c:pt>
                <c:pt idx="12">
                  <c:v>0.22204850414088476</c:v>
                </c:pt>
                <c:pt idx="13">
                  <c:v>0.60898507257396162</c:v>
                </c:pt>
                <c:pt idx="14">
                  <c:v>0.43482840021874891</c:v>
                </c:pt>
                <c:pt idx="15">
                  <c:v>1.2335764847344615</c:v>
                </c:pt>
                <c:pt idx="16">
                  <c:v>0.41650765164948444</c:v>
                </c:pt>
                <c:pt idx="17">
                  <c:v>0.70420658633402811</c:v>
                </c:pt>
                <c:pt idx="18">
                  <c:v>-0.61324116200944223</c:v>
                </c:pt>
                <c:pt idx="19">
                  <c:v>2.3152479693807742</c:v>
                </c:pt>
                <c:pt idx="20">
                  <c:v>1.9459681478944586</c:v>
                </c:pt>
              </c:numCache>
            </c:numRef>
          </c:val>
          <c:smooth val="0"/>
          <c:extLst>
            <c:ext xmlns:c16="http://schemas.microsoft.com/office/drawing/2014/chart" uri="{C3380CC4-5D6E-409C-BE32-E72D297353CC}">
              <c16:uniqueId val="{00000001-C17B-461A-A869-475A83175D2F}"/>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C17B-461A-A869-475A83175D2F}"/>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9434383994733346"/>
          <c:w val="0.38288474283082663"/>
          <c:h val="0.10565616005266633"/>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Italy!$A$10:$A$30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Italy!$E$10:$E$30</c:f>
              <c:numCache>
                <c:formatCode>0.0</c:formatCode>
                <c:ptCount val="21"/>
                <c:pt idx="0">
                  <c:v>0.51300161897142993</c:v>
                </c:pt>
                <c:pt idx="1">
                  <c:v>0.42066557006883709</c:v>
                </c:pt>
                <c:pt idx="2">
                  <c:v>0.31626844149928485</c:v>
                </c:pt>
                <c:pt idx="3">
                  <c:v>0.1866538755233654</c:v>
                </c:pt>
                <c:pt idx="4">
                  <c:v>1.2697659997245923</c:v>
                </c:pt>
                <c:pt idx="5">
                  <c:v>0.96439523700830554</c:v>
                </c:pt>
                <c:pt idx="6">
                  <c:v>-0.24117177620881911</c:v>
                </c:pt>
                <c:pt idx="7">
                  <c:v>-2.2667135426732998</c:v>
                </c:pt>
                <c:pt idx="8">
                  <c:v>-0.34828598598485744</c:v>
                </c:pt>
                <c:pt idx="9">
                  <c:v>1.354604195858236E-3</c:v>
                </c:pt>
                <c:pt idx="10">
                  <c:v>-1.5975497097912845</c:v>
                </c:pt>
                <c:pt idx="11">
                  <c:v>-1.6826794541986476</c:v>
                </c:pt>
                <c:pt idx="12">
                  <c:v>-6.8388162319501511E-2</c:v>
                </c:pt>
                <c:pt idx="13">
                  <c:v>0.51064773595882718</c:v>
                </c:pt>
                <c:pt idx="14">
                  <c:v>1.0530688370608026</c:v>
                </c:pt>
                <c:pt idx="15">
                  <c:v>0.68046010587861216</c:v>
                </c:pt>
                <c:pt idx="16">
                  <c:v>0.61542513257458098</c:v>
                </c:pt>
                <c:pt idx="17">
                  <c:v>2.210097719175692E-2</c:v>
                </c:pt>
                <c:pt idx="18">
                  <c:v>-7.87276491900443</c:v>
                </c:pt>
                <c:pt idx="19">
                  <c:v>6.1003869052873272</c:v>
                </c:pt>
                <c:pt idx="20">
                  <c:v>2.5685232235467992</c:v>
                </c:pt>
              </c:numCache>
            </c:numRef>
          </c:val>
          <c:extLst>
            <c:ext xmlns:c16="http://schemas.microsoft.com/office/drawing/2014/chart" uri="{C3380CC4-5D6E-409C-BE32-E72D297353CC}">
              <c16:uniqueId val="{00000000-B568-4BDC-A323-2FD6D345B6AE}"/>
            </c:ext>
          </c:extLst>
        </c:ser>
        <c:ser>
          <c:idx val="3"/>
          <c:order val="2"/>
          <c:tx>
            <c:v>Capital stock</c:v>
          </c:tx>
          <c:spPr>
            <a:solidFill>
              <a:srgbClr val="1E88E5"/>
            </a:solidFill>
            <a:ln>
              <a:noFill/>
            </a:ln>
            <a:effectLst/>
          </c:spPr>
          <c:invertIfNegative val="0"/>
          <c:cat>
            <c:numRef>
              <c:f>Italy!$A$10:$A$30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Italy!$F$10:$F$30</c:f>
              <c:numCache>
                <c:formatCode>0.0</c:formatCode>
                <c:ptCount val="21"/>
                <c:pt idx="0">
                  <c:v>0.83919786568559251</c:v>
                </c:pt>
                <c:pt idx="1">
                  <c:v>0.72645767020683305</c:v>
                </c:pt>
                <c:pt idx="2">
                  <c:v>0.69680328607847242</c:v>
                </c:pt>
                <c:pt idx="3">
                  <c:v>0.67398771438813709</c:v>
                </c:pt>
                <c:pt idx="4">
                  <c:v>0.67926003755976194</c:v>
                </c:pt>
                <c:pt idx="5">
                  <c:v>0.66949414729458689</c:v>
                </c:pt>
                <c:pt idx="6">
                  <c:v>0.53416345590616343</c:v>
                </c:pt>
                <c:pt idx="7">
                  <c:v>0.25321671315431027</c:v>
                </c:pt>
                <c:pt idx="8">
                  <c:v>0.21056928935904901</c:v>
                </c:pt>
                <c:pt idx="9">
                  <c:v>0.15623782537047945</c:v>
                </c:pt>
                <c:pt idx="10">
                  <c:v>-5.9431556775107218E-2</c:v>
                </c:pt>
                <c:pt idx="11">
                  <c:v>-0.18490612153389319</c:v>
                </c:pt>
                <c:pt idx="12">
                  <c:v>-0.22323577318603785</c:v>
                </c:pt>
                <c:pt idx="13">
                  <c:v>-0.19182040338262532</c:v>
                </c:pt>
                <c:pt idx="14">
                  <c:v>-0.13009066465170052</c:v>
                </c:pt>
                <c:pt idx="15">
                  <c:v>-8.8190233661074757E-2</c:v>
                </c:pt>
                <c:pt idx="16">
                  <c:v>-4.5332683282350753E-2</c:v>
                </c:pt>
                <c:pt idx="17">
                  <c:v>-2.608628782920755E-2</c:v>
                </c:pt>
                <c:pt idx="18">
                  <c:v>-0.17697301110283487</c:v>
                </c:pt>
                <c:pt idx="19">
                  <c:v>0.17018152007150791</c:v>
                </c:pt>
                <c:pt idx="20">
                  <c:v>0.30709653440320217</c:v>
                </c:pt>
              </c:numCache>
            </c:numRef>
          </c:val>
          <c:extLst>
            <c:ext xmlns:c16="http://schemas.microsoft.com/office/drawing/2014/chart" uri="{C3380CC4-5D6E-409C-BE32-E72D297353CC}">
              <c16:uniqueId val="{00000001-B568-4BDC-A323-2FD6D345B6AE}"/>
            </c:ext>
          </c:extLst>
        </c:ser>
        <c:ser>
          <c:idx val="0"/>
          <c:order val="3"/>
          <c:tx>
            <c:v>MFP</c:v>
          </c:tx>
          <c:spPr>
            <a:solidFill>
              <a:srgbClr val="D81B22"/>
            </a:solidFill>
            <a:ln>
              <a:noFill/>
            </a:ln>
            <a:effectLst/>
          </c:spPr>
          <c:invertIfNegative val="0"/>
          <c:cat>
            <c:numRef>
              <c:f>Italy!$A$10:$A$30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Italy!$C$10:$C$30</c:f>
              <c:numCache>
                <c:formatCode>0.0</c:formatCode>
                <c:ptCount val="21"/>
                <c:pt idx="0">
                  <c:v>-0.97563603986844227</c:v>
                </c:pt>
                <c:pt idx="1">
                  <c:v>-1.1065106415420676</c:v>
                </c:pt>
                <c:pt idx="2">
                  <c:v>0.62987464241813285</c:v>
                </c:pt>
                <c:pt idx="3">
                  <c:v>-7.8997771989584908E-2</c:v>
                </c:pt>
                <c:pt idx="4">
                  <c:v>-3.2342479876226626E-2</c:v>
                </c:pt>
                <c:pt idx="5">
                  <c:v>-5.3304457015438511E-2</c:v>
                </c:pt>
                <c:pt idx="6">
                  <c:v>-1.1216278625132006</c:v>
                </c:pt>
                <c:pt idx="7">
                  <c:v>-3.6743618248003882</c:v>
                </c:pt>
                <c:pt idx="8">
                  <c:v>1.929077144922317</c:v>
                </c:pt>
                <c:pt idx="9">
                  <c:v>0.62166360941265497</c:v>
                </c:pt>
                <c:pt idx="10">
                  <c:v>-1.2074488416989895</c:v>
                </c:pt>
                <c:pt idx="11">
                  <c:v>0.34999923942686451</c:v>
                </c:pt>
                <c:pt idx="12">
                  <c:v>0.22204850414088476</c:v>
                </c:pt>
                <c:pt idx="13">
                  <c:v>0.60898507257396162</c:v>
                </c:pt>
                <c:pt idx="14">
                  <c:v>0.43482840021874891</c:v>
                </c:pt>
                <c:pt idx="15">
                  <c:v>1.2335764847344615</c:v>
                </c:pt>
                <c:pt idx="16">
                  <c:v>0.41650765164948444</c:v>
                </c:pt>
                <c:pt idx="17">
                  <c:v>0.70420658633402811</c:v>
                </c:pt>
                <c:pt idx="18">
                  <c:v>-0.61324116200944223</c:v>
                </c:pt>
                <c:pt idx="19">
                  <c:v>2.3152479693807742</c:v>
                </c:pt>
                <c:pt idx="20">
                  <c:v>1.9459681478944586</c:v>
                </c:pt>
              </c:numCache>
            </c:numRef>
          </c:val>
          <c:extLst>
            <c:ext xmlns:c16="http://schemas.microsoft.com/office/drawing/2014/chart" uri="{C3380CC4-5D6E-409C-BE32-E72D297353CC}">
              <c16:uniqueId val="{00000002-B568-4BDC-A323-2FD6D345B6AE}"/>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Italy!$D$10:$D$30</c:f>
              <c:numCache>
                <c:formatCode>0.0</c:formatCode>
                <c:ptCount val="21"/>
                <c:pt idx="0">
                  <c:v>0.37656344478858017</c:v>
                </c:pt>
                <c:pt idx="1">
                  <c:v>4.0612598733602567E-2</c:v>
                </c:pt>
                <c:pt idx="2">
                  <c:v>1.6429463699958902</c:v>
                </c:pt>
                <c:pt idx="3">
                  <c:v>0.78164381792191762</c:v>
                </c:pt>
                <c:pt idx="4">
                  <c:v>1.9166835574081276</c:v>
                </c:pt>
                <c:pt idx="5">
                  <c:v>1.5805849272874539</c:v>
                </c:pt>
                <c:pt idx="6">
                  <c:v>-0.82863618281585616</c:v>
                </c:pt>
                <c:pt idx="7">
                  <c:v>-5.6878586543193776</c:v>
                </c:pt>
                <c:pt idx="8">
                  <c:v>1.7913604482965084</c:v>
                </c:pt>
                <c:pt idx="9">
                  <c:v>0.77925603897899265</c:v>
                </c:pt>
                <c:pt idx="10">
                  <c:v>-2.8644301082653811</c:v>
                </c:pt>
                <c:pt idx="11">
                  <c:v>-1.5175863363056763</c:v>
                </c:pt>
                <c:pt idx="12">
                  <c:v>-6.9575431364654605E-2</c:v>
                </c:pt>
                <c:pt idx="13">
                  <c:v>0.9278124051501635</c:v>
                </c:pt>
                <c:pt idx="14">
                  <c:v>1.357806572627851</c:v>
                </c:pt>
                <c:pt idx="15">
                  <c:v>1.8258463569519989</c:v>
                </c:pt>
                <c:pt idx="16">
                  <c:v>0.98660010094171469</c:v>
                </c:pt>
                <c:pt idx="17">
                  <c:v>0.70022127569657755</c:v>
                </c:pt>
                <c:pt idx="18">
                  <c:v>-8.6629790921167071</c:v>
                </c:pt>
                <c:pt idx="19">
                  <c:v>8.5858163947396093</c:v>
                </c:pt>
                <c:pt idx="20">
                  <c:v>4.82158790584446</c:v>
                </c:pt>
              </c:numCache>
            </c:numRef>
          </c:val>
          <c:smooth val="0"/>
          <c:extLst>
            <c:ext xmlns:c16="http://schemas.microsoft.com/office/drawing/2014/chart" uri="{C3380CC4-5D6E-409C-BE32-E72D297353CC}">
              <c16:uniqueId val="{00000003-B568-4BDC-A323-2FD6D345B6AE}"/>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Cyprus!$A$10:$A$30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Cyprus!$C$10:$C$30</c:f>
              <c:numCache>
                <c:formatCode>0.0</c:formatCode>
                <c:ptCount val="21"/>
                <c:pt idx="0">
                  <c:v>2.1348269331158893</c:v>
                </c:pt>
                <c:pt idx="1">
                  <c:v>-0.49560574117624601</c:v>
                </c:pt>
                <c:pt idx="2">
                  <c:v>2.5739434028298183</c:v>
                </c:pt>
                <c:pt idx="3">
                  <c:v>2.3666397695817531</c:v>
                </c:pt>
                <c:pt idx="4">
                  <c:v>2.3457356300066721</c:v>
                </c:pt>
                <c:pt idx="5">
                  <c:v>-0.72774517156881191</c:v>
                </c:pt>
                <c:pt idx="6">
                  <c:v>-0.83427167357834309</c:v>
                </c:pt>
                <c:pt idx="7">
                  <c:v>-2.6371194589935696</c:v>
                </c:pt>
                <c:pt idx="8">
                  <c:v>0.79962099590259372</c:v>
                </c:pt>
                <c:pt idx="9">
                  <c:v>-0.56549235566169864</c:v>
                </c:pt>
                <c:pt idx="10">
                  <c:v>-1.3491048211302741</c:v>
                </c:pt>
                <c:pt idx="11">
                  <c:v>-1.9222621723958349</c:v>
                </c:pt>
                <c:pt idx="12">
                  <c:v>-0.4915117943476649</c:v>
                </c:pt>
                <c:pt idx="13">
                  <c:v>2.247119515728043</c:v>
                </c:pt>
                <c:pt idx="14">
                  <c:v>2.5951373846633392</c:v>
                </c:pt>
                <c:pt idx="15">
                  <c:v>2.0130906333022507</c:v>
                </c:pt>
                <c:pt idx="16">
                  <c:v>2.4166640531518229</c:v>
                </c:pt>
                <c:pt idx="17">
                  <c:v>1.9156106740704117</c:v>
                </c:pt>
                <c:pt idx="18">
                  <c:v>-1.0511310938594953</c:v>
                </c:pt>
                <c:pt idx="19">
                  <c:v>4.8767782544540648</c:v>
                </c:pt>
                <c:pt idx="20">
                  <c:v>3.2232897209531446</c:v>
                </c:pt>
              </c:numCache>
            </c:numRef>
          </c:val>
          <c:smooth val="0"/>
          <c:extLst>
            <c:ext xmlns:c16="http://schemas.microsoft.com/office/drawing/2014/chart" uri="{C3380CC4-5D6E-409C-BE32-E72D297353CC}">
              <c16:uniqueId val="{00000001-D790-4DAB-8DCD-EA327A04D309}"/>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D790-4DAB-8DCD-EA327A04D309}"/>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7343027007780449"/>
          <c:w val="0.39715007806620461"/>
          <c:h val="0.12656972992219531"/>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Cyprus!$A$10:$A$30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Cyprus!$E$10:$E$30</c:f>
              <c:numCache>
                <c:formatCode>0.0</c:formatCode>
                <c:ptCount val="21"/>
                <c:pt idx="0">
                  <c:v>0.40467885061251457</c:v>
                </c:pt>
                <c:pt idx="1">
                  <c:v>2.072823370359457</c:v>
                </c:pt>
                <c:pt idx="2">
                  <c:v>1.2901859062272985</c:v>
                </c:pt>
                <c:pt idx="3">
                  <c:v>1.2997495019934682</c:v>
                </c:pt>
                <c:pt idx="4">
                  <c:v>0.72813872715834793</c:v>
                </c:pt>
                <c:pt idx="5">
                  <c:v>3.955732813987177</c:v>
                </c:pt>
                <c:pt idx="6">
                  <c:v>2.4411605101178724</c:v>
                </c:pt>
                <c:pt idx="7">
                  <c:v>-0.70527901462602127</c:v>
                </c:pt>
                <c:pt idx="8">
                  <c:v>0.3319974503457605</c:v>
                </c:pt>
                <c:pt idx="9">
                  <c:v>0.25757001751990632</c:v>
                </c:pt>
                <c:pt idx="10">
                  <c:v>-2.3910347926609727</c:v>
                </c:pt>
                <c:pt idx="11">
                  <c:v>-4.8332519945097028</c:v>
                </c:pt>
                <c:pt idx="12">
                  <c:v>-1.0746955855329769</c:v>
                </c:pt>
                <c:pt idx="13">
                  <c:v>1.2416092966531633</c:v>
                </c:pt>
                <c:pt idx="14">
                  <c:v>3.1857447630166726</c:v>
                </c:pt>
                <c:pt idx="15">
                  <c:v>2.4906128913654828</c:v>
                </c:pt>
                <c:pt idx="16">
                  <c:v>2.9227701507884651</c:v>
                </c:pt>
                <c:pt idx="17">
                  <c:v>2.9841796325299743</c:v>
                </c:pt>
                <c:pt idx="18">
                  <c:v>-3.2428286894041602</c:v>
                </c:pt>
                <c:pt idx="19">
                  <c:v>4.8738175973615636</c:v>
                </c:pt>
                <c:pt idx="20">
                  <c:v>2.867164358501114</c:v>
                </c:pt>
              </c:numCache>
            </c:numRef>
          </c:val>
          <c:extLst>
            <c:ext xmlns:c16="http://schemas.microsoft.com/office/drawing/2014/chart" uri="{C3380CC4-5D6E-409C-BE32-E72D297353CC}">
              <c16:uniqueId val="{00000000-F4F2-4DAE-9DFC-33917288C723}"/>
            </c:ext>
          </c:extLst>
        </c:ser>
        <c:ser>
          <c:idx val="3"/>
          <c:order val="2"/>
          <c:tx>
            <c:v>Capital stock</c:v>
          </c:tx>
          <c:spPr>
            <a:solidFill>
              <a:srgbClr val="1E88E5"/>
            </a:solidFill>
            <a:ln>
              <a:noFill/>
            </a:ln>
            <a:effectLst/>
          </c:spPr>
          <c:invertIfNegative val="0"/>
          <c:cat>
            <c:numRef>
              <c:f>Cyprus!$A$10:$A$30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Cyprus!$F$10:$F$30</c:f>
              <c:numCache>
                <c:formatCode>0.0</c:formatCode>
                <c:ptCount val="21"/>
                <c:pt idx="0">
                  <c:v>1.1158361647702764</c:v>
                </c:pt>
                <c:pt idx="1">
                  <c:v>1.0122674538469298</c:v>
                </c:pt>
                <c:pt idx="2">
                  <c:v>1.0399010043790637</c:v>
                </c:pt>
                <c:pt idx="3">
                  <c:v>1.0725224252937531</c:v>
                </c:pt>
                <c:pt idx="4">
                  <c:v>1.5321810284530928</c:v>
                </c:pt>
                <c:pt idx="5">
                  <c:v>1.744556373939351</c:v>
                </c:pt>
                <c:pt idx="6">
                  <c:v>1.9751990615270034</c:v>
                </c:pt>
                <c:pt idx="7">
                  <c:v>1.3067720993581011</c:v>
                </c:pt>
                <c:pt idx="8">
                  <c:v>1.16137655883007</c:v>
                </c:pt>
                <c:pt idx="9">
                  <c:v>0.72376702080153066</c:v>
                </c:pt>
                <c:pt idx="10">
                  <c:v>0.23193578360804834</c:v>
                </c:pt>
                <c:pt idx="11">
                  <c:v>-5.8966210916214595E-2</c:v>
                </c:pt>
                <c:pt idx="12">
                  <c:v>-0.22581285999172981</c:v>
                </c:pt>
                <c:pt idx="13">
                  <c:v>-0.28067021924902713</c:v>
                </c:pt>
                <c:pt idx="14">
                  <c:v>0.58610842416858455</c:v>
                </c:pt>
                <c:pt idx="15">
                  <c:v>1.1055677310997341</c:v>
                </c:pt>
                <c:pt idx="16">
                  <c:v>0.84918323534789175</c:v>
                </c:pt>
                <c:pt idx="17">
                  <c:v>0.99429715702029253</c:v>
                </c:pt>
                <c:pt idx="18">
                  <c:v>1.1060083886673444</c:v>
                </c:pt>
                <c:pt idx="19">
                  <c:v>1.0345633752044743</c:v>
                </c:pt>
                <c:pt idx="20">
                  <c:v>0.8666914557266836</c:v>
                </c:pt>
              </c:numCache>
            </c:numRef>
          </c:val>
          <c:extLst>
            <c:ext xmlns:c16="http://schemas.microsoft.com/office/drawing/2014/chart" uri="{C3380CC4-5D6E-409C-BE32-E72D297353CC}">
              <c16:uniqueId val="{00000001-F4F2-4DAE-9DFC-33917288C723}"/>
            </c:ext>
          </c:extLst>
        </c:ser>
        <c:ser>
          <c:idx val="0"/>
          <c:order val="3"/>
          <c:tx>
            <c:v>MFP</c:v>
          </c:tx>
          <c:spPr>
            <a:solidFill>
              <a:srgbClr val="D81B22"/>
            </a:solidFill>
            <a:ln>
              <a:noFill/>
            </a:ln>
            <a:effectLst/>
          </c:spPr>
          <c:invertIfNegative val="0"/>
          <c:cat>
            <c:numRef>
              <c:f>Cyprus!$A$10:$A$30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Cyprus!$C$10:$C$30</c:f>
              <c:numCache>
                <c:formatCode>0.0</c:formatCode>
                <c:ptCount val="21"/>
                <c:pt idx="0">
                  <c:v>2.1348269331158893</c:v>
                </c:pt>
                <c:pt idx="1">
                  <c:v>-0.49560574117624601</c:v>
                </c:pt>
                <c:pt idx="2">
                  <c:v>2.5739434028298183</c:v>
                </c:pt>
                <c:pt idx="3">
                  <c:v>2.3666397695817531</c:v>
                </c:pt>
                <c:pt idx="4">
                  <c:v>2.3457356300066721</c:v>
                </c:pt>
                <c:pt idx="5">
                  <c:v>-0.72774517156881191</c:v>
                </c:pt>
                <c:pt idx="6">
                  <c:v>-0.83427167357834309</c:v>
                </c:pt>
                <c:pt idx="7">
                  <c:v>-2.6371194589935696</c:v>
                </c:pt>
                <c:pt idx="8">
                  <c:v>0.79962099590259372</c:v>
                </c:pt>
                <c:pt idx="9">
                  <c:v>-0.56549235566169864</c:v>
                </c:pt>
                <c:pt idx="10">
                  <c:v>-1.3491048211302741</c:v>
                </c:pt>
                <c:pt idx="11">
                  <c:v>-1.9222621723958349</c:v>
                </c:pt>
                <c:pt idx="12">
                  <c:v>-0.4915117943476649</c:v>
                </c:pt>
                <c:pt idx="13">
                  <c:v>2.247119515728043</c:v>
                </c:pt>
                <c:pt idx="14">
                  <c:v>2.5951373846633392</c:v>
                </c:pt>
                <c:pt idx="15">
                  <c:v>2.0130906333022507</c:v>
                </c:pt>
                <c:pt idx="16">
                  <c:v>2.4166640531518229</c:v>
                </c:pt>
                <c:pt idx="17">
                  <c:v>1.9156106740704117</c:v>
                </c:pt>
                <c:pt idx="18">
                  <c:v>-1.0511310938594953</c:v>
                </c:pt>
                <c:pt idx="19">
                  <c:v>4.8767782544540648</c:v>
                </c:pt>
                <c:pt idx="20">
                  <c:v>3.2232897209531446</c:v>
                </c:pt>
              </c:numCache>
            </c:numRef>
          </c:val>
          <c:extLst>
            <c:ext xmlns:c16="http://schemas.microsoft.com/office/drawing/2014/chart" uri="{C3380CC4-5D6E-409C-BE32-E72D297353CC}">
              <c16:uniqueId val="{00000002-F4F2-4DAE-9DFC-33917288C723}"/>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Cyprus!$D$10:$D$30</c:f>
              <c:numCache>
                <c:formatCode>0.0</c:formatCode>
                <c:ptCount val="21"/>
                <c:pt idx="0">
                  <c:v>3.6553419484986804</c:v>
                </c:pt>
                <c:pt idx="1">
                  <c:v>2.5894850830301408</c:v>
                </c:pt>
                <c:pt idx="2">
                  <c:v>4.9040303134361807</c:v>
                </c:pt>
                <c:pt idx="3">
                  <c:v>4.7389116968689748</c:v>
                </c:pt>
                <c:pt idx="4">
                  <c:v>4.606055385618113</c:v>
                </c:pt>
                <c:pt idx="5">
                  <c:v>4.9725440163577161</c:v>
                </c:pt>
                <c:pt idx="6">
                  <c:v>3.5820878980665327</c:v>
                </c:pt>
                <c:pt idx="7">
                  <c:v>-2.03562637426149</c:v>
                </c:pt>
                <c:pt idx="8">
                  <c:v>2.2929950050784242</c:v>
                </c:pt>
                <c:pt idx="9">
                  <c:v>0.4158446826597384</c:v>
                </c:pt>
                <c:pt idx="10">
                  <c:v>-3.5082038301831986</c:v>
                </c:pt>
                <c:pt idx="11">
                  <c:v>-6.8144803778217522</c:v>
                </c:pt>
                <c:pt idx="12">
                  <c:v>-1.7920202398723717</c:v>
                </c:pt>
                <c:pt idx="13">
                  <c:v>3.2080585931321792</c:v>
                </c:pt>
                <c:pt idx="14">
                  <c:v>6.3669905718485964</c:v>
                </c:pt>
                <c:pt idx="15">
                  <c:v>5.6092712557674673</c:v>
                </c:pt>
                <c:pt idx="16">
                  <c:v>6.1886174392881799</c:v>
                </c:pt>
                <c:pt idx="17">
                  <c:v>5.8940874636206786</c:v>
                </c:pt>
                <c:pt idx="18">
                  <c:v>-3.1879513945963112</c:v>
                </c:pt>
                <c:pt idx="19">
                  <c:v>10.785159227020102</c:v>
                </c:pt>
                <c:pt idx="20">
                  <c:v>6.9571455351809419</c:v>
                </c:pt>
              </c:numCache>
            </c:numRef>
          </c:val>
          <c:smooth val="0"/>
          <c:extLst>
            <c:ext xmlns:c16="http://schemas.microsoft.com/office/drawing/2014/chart" uri="{C3380CC4-5D6E-409C-BE32-E72D297353CC}">
              <c16:uniqueId val="{00000003-F4F2-4DAE-9DFC-33917288C723}"/>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Latvia!$A$10:$A$30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Latvia!$C$10:$C$30</c:f>
              <c:numCache>
                <c:formatCode>0.0</c:formatCode>
                <c:ptCount val="21"/>
                <c:pt idx="0">
                  <c:v>6.4975845583919547</c:v>
                </c:pt>
                <c:pt idx="1">
                  <c:v>6.2307452898275306</c:v>
                </c:pt>
                <c:pt idx="2">
                  <c:v>6.6424630623529985</c:v>
                </c:pt>
                <c:pt idx="3">
                  <c:v>6.437341221993659</c:v>
                </c:pt>
                <c:pt idx="4">
                  <c:v>5.6042137875661915</c:v>
                </c:pt>
                <c:pt idx="5">
                  <c:v>4.328503840247258</c:v>
                </c:pt>
                <c:pt idx="6">
                  <c:v>-2.1547309948708229</c:v>
                </c:pt>
                <c:pt idx="7">
                  <c:v>-3.9811859401168777</c:v>
                </c:pt>
                <c:pt idx="8">
                  <c:v>0.28801998575069904</c:v>
                </c:pt>
                <c:pt idx="9">
                  <c:v>0.84690277730065078</c:v>
                </c:pt>
                <c:pt idx="10">
                  <c:v>5.3794642217767628</c:v>
                </c:pt>
                <c:pt idx="11">
                  <c:v>-0.3453355537133781</c:v>
                </c:pt>
                <c:pt idx="12">
                  <c:v>1.7659490277588963</c:v>
                </c:pt>
                <c:pt idx="13">
                  <c:v>3.4255802839655702</c:v>
                </c:pt>
                <c:pt idx="14">
                  <c:v>1.9933055492741616</c:v>
                </c:pt>
                <c:pt idx="15">
                  <c:v>3.5256471049259717</c:v>
                </c:pt>
                <c:pt idx="16">
                  <c:v>1.2651697688724588</c:v>
                </c:pt>
                <c:pt idx="17">
                  <c:v>-1.2445632832876021</c:v>
                </c:pt>
                <c:pt idx="18">
                  <c:v>0.20249470502112565</c:v>
                </c:pt>
                <c:pt idx="19">
                  <c:v>6.2387091861456927</c:v>
                </c:pt>
                <c:pt idx="20">
                  <c:v>-0.52034157731456065</c:v>
                </c:pt>
              </c:numCache>
            </c:numRef>
          </c:val>
          <c:smooth val="0"/>
          <c:extLst>
            <c:ext xmlns:c16="http://schemas.microsoft.com/office/drawing/2014/chart" uri="{C3380CC4-5D6E-409C-BE32-E72D297353CC}">
              <c16:uniqueId val="{00000001-412D-427C-B363-DDCCF4540378}"/>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412D-427C-B363-DDCCF4540378}"/>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7807773004881118"/>
          <c:w val="0.40428274568389366"/>
          <c:h val="0.12192226995118886"/>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Latvia!$A$10:$A$30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Latvia!$E$10:$E$30</c:f>
              <c:numCache>
                <c:formatCode>0.0</c:formatCode>
                <c:ptCount val="21"/>
                <c:pt idx="0">
                  <c:v>-0.11588872061449888</c:v>
                </c:pt>
                <c:pt idx="1">
                  <c:v>0.162272193589582</c:v>
                </c:pt>
                <c:pt idx="2">
                  <c:v>-0.83374026696588432</c:v>
                </c:pt>
                <c:pt idx="3">
                  <c:v>1.6168234318731209</c:v>
                </c:pt>
                <c:pt idx="4">
                  <c:v>2.6946658707534157</c:v>
                </c:pt>
                <c:pt idx="5">
                  <c:v>1.0422920221929226</c:v>
                </c:pt>
                <c:pt idx="6">
                  <c:v>-1.9981373470417454</c:v>
                </c:pt>
                <c:pt idx="7">
                  <c:v>-11.189605343752609</c:v>
                </c:pt>
                <c:pt idx="8">
                  <c:v>-4.5380223684159438</c:v>
                </c:pt>
                <c:pt idx="9">
                  <c:v>1.2992802779577939</c:v>
                </c:pt>
                <c:pt idx="10">
                  <c:v>0.28718473190933563</c:v>
                </c:pt>
                <c:pt idx="11">
                  <c:v>1.0600315034533374</c:v>
                </c:pt>
                <c:pt idx="12">
                  <c:v>-0.45616144746233384</c:v>
                </c:pt>
                <c:pt idx="13">
                  <c:v>-0.30208298540658096</c:v>
                </c:pt>
                <c:pt idx="14">
                  <c:v>-0.16366220807896076</c:v>
                </c:pt>
                <c:pt idx="15">
                  <c:v>-0.55622155246437666</c:v>
                </c:pt>
                <c:pt idx="16">
                  <c:v>1.7223787964833193</c:v>
                </c:pt>
                <c:pt idx="17">
                  <c:v>1.2888347657471353</c:v>
                </c:pt>
                <c:pt idx="18">
                  <c:v>-4.1712249562757551</c:v>
                </c:pt>
                <c:pt idx="19">
                  <c:v>0.27374238898026237</c:v>
                </c:pt>
                <c:pt idx="20">
                  <c:v>1.4512520587406985</c:v>
                </c:pt>
              </c:numCache>
            </c:numRef>
          </c:val>
          <c:extLst>
            <c:ext xmlns:c16="http://schemas.microsoft.com/office/drawing/2014/chart" uri="{C3380CC4-5D6E-409C-BE32-E72D297353CC}">
              <c16:uniqueId val="{00000000-320F-424B-8C7A-0D03DA2FAE1D}"/>
            </c:ext>
          </c:extLst>
        </c:ser>
        <c:ser>
          <c:idx val="3"/>
          <c:order val="2"/>
          <c:tx>
            <c:v>Capital stock</c:v>
          </c:tx>
          <c:spPr>
            <a:solidFill>
              <a:srgbClr val="1E88E5"/>
            </a:solidFill>
            <a:ln>
              <a:noFill/>
            </a:ln>
            <a:effectLst/>
          </c:spPr>
          <c:invertIfNegative val="0"/>
          <c:cat>
            <c:numRef>
              <c:f>Latvia!$A$10:$A$30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Latvia!$F$10:$F$30</c:f>
              <c:numCache>
                <c:formatCode>0.0</c:formatCode>
                <c:ptCount val="21"/>
                <c:pt idx="0">
                  <c:v>1.2186420586386866</c:v>
                </c:pt>
                <c:pt idx="1">
                  <c:v>1.6359938422962068</c:v>
                </c:pt>
                <c:pt idx="2">
                  <c:v>2.5778691181841595</c:v>
                </c:pt>
                <c:pt idx="3">
                  <c:v>3.1863187353414433</c:v>
                </c:pt>
                <c:pt idx="4">
                  <c:v>3.3397880971506382</c:v>
                </c:pt>
                <c:pt idx="5">
                  <c:v>3.725795666498088</c:v>
                </c:pt>
                <c:pt idx="6">
                  <c:v>2.2996980443505448</c:v>
                </c:pt>
                <c:pt idx="7">
                  <c:v>0.40372891162951674</c:v>
                </c:pt>
                <c:pt idx="8">
                  <c:v>-0.12370624855832707</c:v>
                </c:pt>
                <c:pt idx="9">
                  <c:v>0.45624183092174325</c:v>
                </c:pt>
                <c:pt idx="10">
                  <c:v>1.0212297536172419</c:v>
                </c:pt>
                <c:pt idx="11">
                  <c:v>0.69402561414404851</c:v>
                </c:pt>
                <c:pt idx="12">
                  <c:v>0.4928198417133649</c:v>
                </c:pt>
                <c:pt idx="13">
                  <c:v>0.35254351182171989</c:v>
                </c:pt>
                <c:pt idx="14">
                  <c:v>0.1511896919255093</c:v>
                </c:pt>
                <c:pt idx="15">
                  <c:v>0.37210599823963186</c:v>
                </c:pt>
                <c:pt idx="16">
                  <c:v>0.6360208812929663</c:v>
                </c:pt>
                <c:pt idx="17">
                  <c:v>0.57984352920004301</c:v>
                </c:pt>
                <c:pt idx="18">
                  <c:v>0.41983473671870808</c:v>
                </c:pt>
                <c:pt idx="19">
                  <c:v>0.53412160803886222</c:v>
                </c:pt>
                <c:pt idx="20">
                  <c:v>0.64943402446599052</c:v>
                </c:pt>
              </c:numCache>
            </c:numRef>
          </c:val>
          <c:extLst>
            <c:ext xmlns:c16="http://schemas.microsoft.com/office/drawing/2014/chart" uri="{C3380CC4-5D6E-409C-BE32-E72D297353CC}">
              <c16:uniqueId val="{00000001-320F-424B-8C7A-0D03DA2FAE1D}"/>
            </c:ext>
          </c:extLst>
        </c:ser>
        <c:ser>
          <c:idx val="0"/>
          <c:order val="3"/>
          <c:tx>
            <c:v>MFP</c:v>
          </c:tx>
          <c:spPr>
            <a:solidFill>
              <a:srgbClr val="D81B22"/>
            </a:solidFill>
            <a:ln>
              <a:noFill/>
            </a:ln>
            <a:effectLst/>
          </c:spPr>
          <c:invertIfNegative val="0"/>
          <c:cat>
            <c:numRef>
              <c:f>Latvia!$A$10:$A$30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Latvia!$C$10:$C$30</c:f>
              <c:numCache>
                <c:formatCode>0.0</c:formatCode>
                <c:ptCount val="21"/>
                <c:pt idx="0">
                  <c:v>6.4975845583919547</c:v>
                </c:pt>
                <c:pt idx="1">
                  <c:v>6.2307452898275306</c:v>
                </c:pt>
                <c:pt idx="2">
                  <c:v>6.6424630623529985</c:v>
                </c:pt>
                <c:pt idx="3">
                  <c:v>6.437341221993659</c:v>
                </c:pt>
                <c:pt idx="4">
                  <c:v>5.6042137875661915</c:v>
                </c:pt>
                <c:pt idx="5">
                  <c:v>4.328503840247258</c:v>
                </c:pt>
                <c:pt idx="6">
                  <c:v>-2.1547309948708229</c:v>
                </c:pt>
                <c:pt idx="7">
                  <c:v>-3.9811859401168777</c:v>
                </c:pt>
                <c:pt idx="8">
                  <c:v>0.28801998575069904</c:v>
                </c:pt>
                <c:pt idx="9">
                  <c:v>0.84690277730065078</c:v>
                </c:pt>
                <c:pt idx="10">
                  <c:v>5.3794642217767628</c:v>
                </c:pt>
                <c:pt idx="11">
                  <c:v>-0.3453355537133781</c:v>
                </c:pt>
                <c:pt idx="12">
                  <c:v>1.7659490277588963</c:v>
                </c:pt>
                <c:pt idx="13">
                  <c:v>3.4255802839655702</c:v>
                </c:pt>
                <c:pt idx="14">
                  <c:v>1.9933055492741616</c:v>
                </c:pt>
                <c:pt idx="15">
                  <c:v>3.5256471049259717</c:v>
                </c:pt>
                <c:pt idx="16">
                  <c:v>1.2651697688724588</c:v>
                </c:pt>
                <c:pt idx="17">
                  <c:v>-1.2445632832876021</c:v>
                </c:pt>
                <c:pt idx="18">
                  <c:v>0.20249470502112565</c:v>
                </c:pt>
                <c:pt idx="19">
                  <c:v>6.2387091861456927</c:v>
                </c:pt>
                <c:pt idx="20">
                  <c:v>-0.52034157731456065</c:v>
                </c:pt>
              </c:numCache>
            </c:numRef>
          </c:val>
          <c:extLst>
            <c:ext xmlns:c16="http://schemas.microsoft.com/office/drawing/2014/chart" uri="{C3380CC4-5D6E-409C-BE32-E72D297353CC}">
              <c16:uniqueId val="{00000002-320F-424B-8C7A-0D03DA2FAE1D}"/>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Latvia!$D$10:$D$30</c:f>
              <c:numCache>
                <c:formatCode>0.0</c:formatCode>
                <c:ptCount val="21"/>
                <c:pt idx="0">
                  <c:v>7.6003378964161428</c:v>
                </c:pt>
                <c:pt idx="1">
                  <c:v>8.02901132571332</c:v>
                </c:pt>
                <c:pt idx="2">
                  <c:v>8.386591913571273</c:v>
                </c:pt>
                <c:pt idx="3">
                  <c:v>11.240483389208222</c:v>
                </c:pt>
                <c:pt idx="4">
                  <c:v>11.638667755470244</c:v>
                </c:pt>
                <c:pt idx="5">
                  <c:v>9.0965915289382693</c:v>
                </c:pt>
                <c:pt idx="6">
                  <c:v>-1.8531702975620234</c:v>
                </c:pt>
                <c:pt idx="7">
                  <c:v>-14.76706237223997</c:v>
                </c:pt>
                <c:pt idx="8">
                  <c:v>-4.3737086312235718</c:v>
                </c:pt>
                <c:pt idx="9">
                  <c:v>2.602424886180188</c:v>
                </c:pt>
                <c:pt idx="10">
                  <c:v>6.6878787073033408</c:v>
                </c:pt>
                <c:pt idx="11">
                  <c:v>1.4087215638840078</c:v>
                </c:pt>
                <c:pt idx="12">
                  <c:v>1.8026074220099275</c:v>
                </c:pt>
                <c:pt idx="13">
                  <c:v>3.4760408103807094</c:v>
                </c:pt>
                <c:pt idx="14">
                  <c:v>1.9808330331207102</c:v>
                </c:pt>
                <c:pt idx="15">
                  <c:v>3.3415315507012266</c:v>
                </c:pt>
                <c:pt idx="16">
                  <c:v>3.6235694466487445</c:v>
                </c:pt>
                <c:pt idx="17">
                  <c:v>0.62411501165957617</c:v>
                </c:pt>
                <c:pt idx="18">
                  <c:v>-3.5488955145359213</c:v>
                </c:pt>
                <c:pt idx="19">
                  <c:v>7.0465731831648171</c:v>
                </c:pt>
                <c:pt idx="20">
                  <c:v>1.5803445058921284</c:v>
                </c:pt>
              </c:numCache>
            </c:numRef>
          </c:val>
          <c:smooth val="0"/>
          <c:extLst>
            <c:ext xmlns:c16="http://schemas.microsoft.com/office/drawing/2014/chart" uri="{C3380CC4-5D6E-409C-BE32-E72D297353CC}">
              <c16:uniqueId val="{00000003-320F-424B-8C7A-0D03DA2FAE1D}"/>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Lithuania!$A$10:$A$30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Lithuania!$C$10:$C$30</c:f>
              <c:numCache>
                <c:formatCode>0.0</c:formatCode>
                <c:ptCount val="21"/>
                <c:pt idx="0">
                  <c:v>4.444893758204004</c:v>
                </c:pt>
                <c:pt idx="1">
                  <c:v>8.0683985273339083</c:v>
                </c:pt>
                <c:pt idx="2">
                  <c:v>2.6232504158097627</c:v>
                </c:pt>
                <c:pt idx="3">
                  <c:v>5.2474945454391992</c:v>
                </c:pt>
                <c:pt idx="4">
                  <c:v>5.4283845983954642</c:v>
                </c:pt>
                <c:pt idx="5">
                  <c:v>5.816193061460047</c:v>
                </c:pt>
                <c:pt idx="6">
                  <c:v>0.16964825982798004</c:v>
                </c:pt>
                <c:pt idx="7">
                  <c:v>-9.8857628711780734</c:v>
                </c:pt>
                <c:pt idx="8">
                  <c:v>2.50957727316966</c:v>
                </c:pt>
                <c:pt idx="9">
                  <c:v>5.6493148596059628</c:v>
                </c:pt>
                <c:pt idx="10">
                  <c:v>2.666890633225111</c:v>
                </c:pt>
                <c:pt idx="11">
                  <c:v>2.8128752812082345</c:v>
                </c:pt>
                <c:pt idx="12">
                  <c:v>1.9073795742184054</c:v>
                </c:pt>
                <c:pt idx="13">
                  <c:v>0.29268454983537762</c:v>
                </c:pt>
                <c:pt idx="14">
                  <c:v>-0.29770484533593855</c:v>
                </c:pt>
                <c:pt idx="15">
                  <c:v>4.9693275865903299</c:v>
                </c:pt>
                <c:pt idx="16">
                  <c:v>2.3872756552459196</c:v>
                </c:pt>
                <c:pt idx="17">
                  <c:v>2.7773631682914912</c:v>
                </c:pt>
                <c:pt idx="18">
                  <c:v>2.2158352521652445</c:v>
                </c:pt>
                <c:pt idx="19">
                  <c:v>2.9973760030930912</c:v>
                </c:pt>
                <c:pt idx="20">
                  <c:v>-2.1100363762047714</c:v>
                </c:pt>
              </c:numCache>
            </c:numRef>
          </c:val>
          <c:smooth val="0"/>
          <c:extLst>
            <c:ext xmlns:c16="http://schemas.microsoft.com/office/drawing/2014/chart" uri="{C3380CC4-5D6E-409C-BE32-E72D297353CC}">
              <c16:uniqueId val="{00000001-7F7F-4459-877A-3163DCBABB16}"/>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7F7F-4459-877A-3163DCBABB16}"/>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9666756993283692"/>
          <c:w val="0.44422568434295212"/>
          <c:h val="0.10333243006716311"/>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Lithuania!$A$10:$A$30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Lithuania!$E$10:$E$30</c:f>
              <c:numCache>
                <c:formatCode>0.0</c:formatCode>
                <c:ptCount val="21"/>
                <c:pt idx="0">
                  <c:v>1.0490327980849083</c:v>
                </c:pt>
                <c:pt idx="1">
                  <c:v>0.69478514539153302</c:v>
                </c:pt>
                <c:pt idx="2">
                  <c:v>2.0977582554933161</c:v>
                </c:pt>
                <c:pt idx="3">
                  <c:v>0.44818954444302006</c:v>
                </c:pt>
                <c:pt idx="4">
                  <c:v>-0.44455387420451564</c:v>
                </c:pt>
                <c:pt idx="5">
                  <c:v>2.0270555395416627</c:v>
                </c:pt>
                <c:pt idx="6">
                  <c:v>0.22639601685375518</c:v>
                </c:pt>
                <c:pt idx="7">
                  <c:v>-6.5668566486782689</c:v>
                </c:pt>
                <c:pt idx="8">
                  <c:v>-2.122809831867992</c:v>
                </c:pt>
                <c:pt idx="9">
                  <c:v>-0.40039325713180346</c:v>
                </c:pt>
                <c:pt idx="10">
                  <c:v>0.87304296663257885</c:v>
                </c:pt>
                <c:pt idx="11">
                  <c:v>0.2362979805009032</c:v>
                </c:pt>
                <c:pt idx="12">
                  <c:v>0.7914541732124547</c:v>
                </c:pt>
                <c:pt idx="13">
                  <c:v>1.4679502025525466</c:v>
                </c:pt>
                <c:pt idx="14">
                  <c:v>1.9205322705379417</c:v>
                </c:pt>
                <c:pt idx="15">
                  <c:v>-1.658306094431542</c:v>
                </c:pt>
                <c:pt idx="16">
                  <c:v>1.0113549421133374</c:v>
                </c:pt>
                <c:pt idx="17">
                  <c:v>0.35529119611299387</c:v>
                </c:pt>
                <c:pt idx="18">
                  <c:v>-3.4733848476507854</c:v>
                </c:pt>
                <c:pt idx="19">
                  <c:v>1.6601586976548903</c:v>
                </c:pt>
                <c:pt idx="20">
                  <c:v>3.0694068511420123</c:v>
                </c:pt>
              </c:numCache>
            </c:numRef>
          </c:val>
          <c:extLst>
            <c:ext xmlns:c16="http://schemas.microsoft.com/office/drawing/2014/chart" uri="{C3380CC4-5D6E-409C-BE32-E72D297353CC}">
              <c16:uniqueId val="{00000000-33F5-4DBC-A596-B7E92FB4F9C9}"/>
            </c:ext>
          </c:extLst>
        </c:ser>
        <c:ser>
          <c:idx val="3"/>
          <c:order val="2"/>
          <c:tx>
            <c:v>Capital stock</c:v>
          </c:tx>
          <c:spPr>
            <a:solidFill>
              <a:srgbClr val="1E88E5"/>
            </a:solidFill>
            <a:ln>
              <a:noFill/>
            </a:ln>
            <a:effectLst/>
          </c:spPr>
          <c:invertIfNegative val="0"/>
          <c:cat>
            <c:numRef>
              <c:f>Lithuania!$A$10:$A$30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Lithuania!$F$10:$F$30</c:f>
              <c:numCache>
                <c:formatCode>0.0</c:formatCode>
                <c:ptCount val="21"/>
                <c:pt idx="0">
                  <c:v>1.0097634602939953</c:v>
                </c:pt>
                <c:pt idx="1">
                  <c:v>1.2683048737058131</c:v>
                </c:pt>
                <c:pt idx="2">
                  <c:v>1.5783819734869584</c:v>
                </c:pt>
                <c:pt idx="3">
                  <c:v>1.751449386102871</c:v>
                </c:pt>
                <c:pt idx="4">
                  <c:v>2.1509611171243432</c:v>
                </c:pt>
                <c:pt idx="5">
                  <c:v>2.6629345687054178</c:v>
                </c:pt>
                <c:pt idx="6">
                  <c:v>2.1702046117540164</c:v>
                </c:pt>
                <c:pt idx="7">
                  <c:v>0.39041629476609807</c:v>
                </c:pt>
                <c:pt idx="8">
                  <c:v>3.9521923430900295E-2</c:v>
                </c:pt>
                <c:pt idx="9">
                  <c:v>0.88282162678430864</c:v>
                </c:pt>
                <c:pt idx="10">
                  <c:v>0.7496392987108822</c:v>
                </c:pt>
                <c:pt idx="11">
                  <c:v>0.91799885328361897</c:v>
                </c:pt>
                <c:pt idx="12">
                  <c:v>1.0042890490258434</c:v>
                </c:pt>
                <c:pt idx="13">
                  <c:v>1.0327896118942357</c:v>
                </c:pt>
                <c:pt idx="14">
                  <c:v>1.0140221938725074</c:v>
                </c:pt>
                <c:pt idx="15">
                  <c:v>1.1980194630454253</c:v>
                </c:pt>
                <c:pt idx="16">
                  <c:v>1.4026113890781755</c:v>
                </c:pt>
                <c:pt idx="17">
                  <c:v>1.4386050673329107</c:v>
                </c:pt>
                <c:pt idx="18">
                  <c:v>1.3003554162643649</c:v>
                </c:pt>
                <c:pt idx="19">
                  <c:v>1.5272204607144595</c:v>
                </c:pt>
                <c:pt idx="20">
                  <c:v>1.5464945186259593</c:v>
                </c:pt>
              </c:numCache>
            </c:numRef>
          </c:val>
          <c:extLst>
            <c:ext xmlns:c16="http://schemas.microsoft.com/office/drawing/2014/chart" uri="{C3380CC4-5D6E-409C-BE32-E72D297353CC}">
              <c16:uniqueId val="{00000001-33F5-4DBC-A596-B7E92FB4F9C9}"/>
            </c:ext>
          </c:extLst>
        </c:ser>
        <c:ser>
          <c:idx val="0"/>
          <c:order val="3"/>
          <c:tx>
            <c:v>MFP</c:v>
          </c:tx>
          <c:spPr>
            <a:solidFill>
              <a:srgbClr val="D81B22"/>
            </a:solidFill>
            <a:ln>
              <a:noFill/>
            </a:ln>
            <a:effectLst/>
          </c:spPr>
          <c:invertIfNegative val="0"/>
          <c:cat>
            <c:numRef>
              <c:f>Lithuania!$A$10:$A$30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Lithuania!$C$10:$C$30</c:f>
              <c:numCache>
                <c:formatCode>0.0</c:formatCode>
                <c:ptCount val="21"/>
                <c:pt idx="0">
                  <c:v>4.444893758204004</c:v>
                </c:pt>
                <c:pt idx="1">
                  <c:v>8.0683985273339083</c:v>
                </c:pt>
                <c:pt idx="2">
                  <c:v>2.6232504158097627</c:v>
                </c:pt>
                <c:pt idx="3">
                  <c:v>5.2474945454391992</c:v>
                </c:pt>
                <c:pt idx="4">
                  <c:v>5.4283845983954642</c:v>
                </c:pt>
                <c:pt idx="5">
                  <c:v>5.816193061460047</c:v>
                </c:pt>
                <c:pt idx="6">
                  <c:v>0.16964825982798004</c:v>
                </c:pt>
                <c:pt idx="7">
                  <c:v>-9.8857628711780734</c:v>
                </c:pt>
                <c:pt idx="8">
                  <c:v>2.50957727316966</c:v>
                </c:pt>
                <c:pt idx="9">
                  <c:v>5.6493148596059628</c:v>
                </c:pt>
                <c:pt idx="10">
                  <c:v>2.666890633225111</c:v>
                </c:pt>
                <c:pt idx="11">
                  <c:v>2.8128752812082345</c:v>
                </c:pt>
                <c:pt idx="12">
                  <c:v>1.9073795742184054</c:v>
                </c:pt>
                <c:pt idx="13">
                  <c:v>0.29268454983537762</c:v>
                </c:pt>
                <c:pt idx="14">
                  <c:v>-0.29770484533593855</c:v>
                </c:pt>
                <c:pt idx="15">
                  <c:v>4.9693275865903299</c:v>
                </c:pt>
                <c:pt idx="16">
                  <c:v>2.3872756552459196</c:v>
                </c:pt>
                <c:pt idx="17">
                  <c:v>2.7773631682914912</c:v>
                </c:pt>
                <c:pt idx="18">
                  <c:v>2.2158352521652445</c:v>
                </c:pt>
                <c:pt idx="19">
                  <c:v>2.9973760030930912</c:v>
                </c:pt>
                <c:pt idx="20">
                  <c:v>-2.1100363762047714</c:v>
                </c:pt>
              </c:numCache>
            </c:numRef>
          </c:val>
          <c:extLst>
            <c:ext xmlns:c16="http://schemas.microsoft.com/office/drawing/2014/chart" uri="{C3380CC4-5D6E-409C-BE32-E72D297353CC}">
              <c16:uniqueId val="{00000002-33F5-4DBC-A596-B7E92FB4F9C9}"/>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Lithuania!$D$10:$D$30</c:f>
              <c:numCache>
                <c:formatCode>0.0</c:formatCode>
                <c:ptCount val="21"/>
                <c:pt idx="0">
                  <c:v>6.5036900165829081</c:v>
                </c:pt>
                <c:pt idx="1">
                  <c:v>10.031488546431255</c:v>
                </c:pt>
                <c:pt idx="2">
                  <c:v>6.2993906447900372</c:v>
                </c:pt>
                <c:pt idx="3">
                  <c:v>7.4471334759850905</c:v>
                </c:pt>
                <c:pt idx="4">
                  <c:v>7.1347918413152911</c:v>
                </c:pt>
                <c:pt idx="5">
                  <c:v>10.506183169707128</c:v>
                </c:pt>
                <c:pt idx="6">
                  <c:v>2.5662488884357515</c:v>
                </c:pt>
                <c:pt idx="7">
                  <c:v>-16.062203225090244</c:v>
                </c:pt>
                <c:pt idx="8">
                  <c:v>0.42628936473256829</c:v>
                </c:pt>
                <c:pt idx="9">
                  <c:v>6.1317432292584684</c:v>
                </c:pt>
                <c:pt idx="10">
                  <c:v>4.2895728985685722</c:v>
                </c:pt>
                <c:pt idx="11">
                  <c:v>3.9671721149927563</c:v>
                </c:pt>
                <c:pt idx="12">
                  <c:v>3.7031227964567037</c:v>
                </c:pt>
                <c:pt idx="13">
                  <c:v>2.7934243642821599</c:v>
                </c:pt>
                <c:pt idx="14">
                  <c:v>2.6368496190745105</c:v>
                </c:pt>
                <c:pt idx="15">
                  <c:v>4.5090409552042132</c:v>
                </c:pt>
                <c:pt idx="16">
                  <c:v>4.8012419864374323</c:v>
                </c:pt>
                <c:pt idx="17">
                  <c:v>4.5712594317373956</c:v>
                </c:pt>
                <c:pt idx="18">
                  <c:v>4.2805820778824E-2</c:v>
                </c:pt>
                <c:pt idx="19">
                  <c:v>6.1847551614624408</c:v>
                </c:pt>
                <c:pt idx="20">
                  <c:v>2.5058649935632005</c:v>
                </c:pt>
              </c:numCache>
            </c:numRef>
          </c:val>
          <c:smooth val="0"/>
          <c:extLst>
            <c:ext xmlns:c16="http://schemas.microsoft.com/office/drawing/2014/chart" uri="{C3380CC4-5D6E-409C-BE32-E72D297353CC}">
              <c16:uniqueId val="{00000003-33F5-4DBC-A596-B7E92FB4F9C9}"/>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Luxembourg!$A$10:$A$30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Luxembourg!$C$10:$C$30</c:f>
              <c:numCache>
                <c:formatCode>0.0</c:formatCode>
                <c:ptCount val="21"/>
                <c:pt idx="0">
                  <c:v>-4.608458556701911E-2</c:v>
                </c:pt>
                <c:pt idx="1">
                  <c:v>-0.21392582553700468</c:v>
                </c:pt>
                <c:pt idx="2">
                  <c:v>0.5520534527087424</c:v>
                </c:pt>
                <c:pt idx="3">
                  <c:v>-7.6357891896260854E-2</c:v>
                </c:pt>
                <c:pt idx="4">
                  <c:v>2.9748734725357497</c:v>
                </c:pt>
                <c:pt idx="5">
                  <c:v>3.0391858842511299</c:v>
                </c:pt>
                <c:pt idx="6">
                  <c:v>-5.1984691875364426</c:v>
                </c:pt>
                <c:pt idx="7">
                  <c:v>-2.7273812853927657</c:v>
                </c:pt>
                <c:pt idx="8">
                  <c:v>1.0090497373495473</c:v>
                </c:pt>
                <c:pt idx="9">
                  <c:v>-3.1340249681349075</c:v>
                </c:pt>
                <c:pt idx="10">
                  <c:v>-1.3193809254053659</c:v>
                </c:pt>
                <c:pt idx="11">
                  <c:v>0.8086037713400569</c:v>
                </c:pt>
                <c:pt idx="12">
                  <c:v>-1.3066679457785428</c:v>
                </c:pt>
                <c:pt idx="13">
                  <c:v>1.7123698791623527</c:v>
                </c:pt>
                <c:pt idx="14">
                  <c:v>2.0005721230439901</c:v>
                </c:pt>
                <c:pt idx="15">
                  <c:v>-2.0500463179619217</c:v>
                </c:pt>
                <c:pt idx="16">
                  <c:v>-1.5448427696169638</c:v>
                </c:pt>
                <c:pt idx="17">
                  <c:v>-0.18698494576945301</c:v>
                </c:pt>
                <c:pt idx="18">
                  <c:v>1.3259990068545351</c:v>
                </c:pt>
                <c:pt idx="19">
                  <c:v>0.97093796748347294</c:v>
                </c:pt>
                <c:pt idx="20">
                  <c:v>-4.1377647464567602</c:v>
                </c:pt>
              </c:numCache>
            </c:numRef>
          </c:val>
          <c:smooth val="0"/>
          <c:extLst>
            <c:ext xmlns:c16="http://schemas.microsoft.com/office/drawing/2014/chart" uri="{C3380CC4-5D6E-409C-BE32-E72D297353CC}">
              <c16:uniqueId val="{00000001-7513-4C2B-8B20-4ED26C710BAA}"/>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7513-4C2B-8B20-4ED26C710BAA}"/>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8040146003431441"/>
          <c:w val="0.3914439439720534"/>
          <c:h val="0.11959853996568565"/>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Luxembourg!$A$10:$A$30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Luxembourg!$E$10:$E$30</c:f>
              <c:numCache>
                <c:formatCode>0.0</c:formatCode>
                <c:ptCount val="21"/>
                <c:pt idx="0">
                  <c:v>1.4212035785897048</c:v>
                </c:pt>
                <c:pt idx="1">
                  <c:v>1.0979316126930148</c:v>
                </c:pt>
                <c:pt idx="2">
                  <c:v>1.3505083113802825</c:v>
                </c:pt>
                <c:pt idx="3">
                  <c:v>0.8534747868845115</c:v>
                </c:pt>
                <c:pt idx="4">
                  <c:v>2.1482948689417491</c:v>
                </c:pt>
                <c:pt idx="5">
                  <c:v>2.8455950886701373</c:v>
                </c:pt>
                <c:pt idx="6">
                  <c:v>2.5582065181418852</c:v>
                </c:pt>
                <c:pt idx="7">
                  <c:v>-1.746940090717805</c:v>
                </c:pt>
                <c:pt idx="8">
                  <c:v>1.1409740504392942</c:v>
                </c:pt>
                <c:pt idx="9">
                  <c:v>1.5698008444970424</c:v>
                </c:pt>
                <c:pt idx="10">
                  <c:v>1.1408166493729617</c:v>
                </c:pt>
                <c:pt idx="11">
                  <c:v>0.73134592595294534</c:v>
                </c:pt>
                <c:pt idx="12">
                  <c:v>1.5778493428093245</c:v>
                </c:pt>
                <c:pt idx="13">
                  <c:v>1.6506151334848846</c:v>
                </c:pt>
                <c:pt idx="14">
                  <c:v>1.5587046722532123</c:v>
                </c:pt>
                <c:pt idx="15">
                  <c:v>1.5366811942620169</c:v>
                </c:pt>
                <c:pt idx="16">
                  <c:v>1.6052280913634225</c:v>
                </c:pt>
                <c:pt idx="17">
                  <c:v>1.8219187488862769</c:v>
                </c:pt>
                <c:pt idx="18">
                  <c:v>-3.2340052162886082</c:v>
                </c:pt>
                <c:pt idx="19">
                  <c:v>5.0865585631687473</c:v>
                </c:pt>
                <c:pt idx="20">
                  <c:v>1.6920583219817418</c:v>
                </c:pt>
              </c:numCache>
            </c:numRef>
          </c:val>
          <c:extLst>
            <c:ext xmlns:c16="http://schemas.microsoft.com/office/drawing/2014/chart" uri="{C3380CC4-5D6E-409C-BE32-E72D297353CC}">
              <c16:uniqueId val="{00000000-EFC5-4020-9710-D8EE2C7CA675}"/>
            </c:ext>
          </c:extLst>
        </c:ser>
        <c:ser>
          <c:idx val="3"/>
          <c:order val="2"/>
          <c:tx>
            <c:v>Capital stock</c:v>
          </c:tx>
          <c:spPr>
            <a:solidFill>
              <a:srgbClr val="1E88E5"/>
            </a:solidFill>
            <a:ln>
              <a:noFill/>
            </a:ln>
            <a:effectLst/>
          </c:spPr>
          <c:invertIfNegative val="0"/>
          <c:cat>
            <c:numRef>
              <c:f>Luxembourg!$A$10:$A$30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Luxembourg!$F$10:$F$30</c:f>
              <c:numCache>
                <c:formatCode>0.0</c:formatCode>
                <c:ptCount val="21"/>
                <c:pt idx="0">
                  <c:v>1.6714452807875404</c:v>
                </c:pt>
                <c:pt idx="1">
                  <c:v>1.6003641798584558</c:v>
                </c:pt>
                <c:pt idx="2">
                  <c:v>1.7079455510686157</c:v>
                </c:pt>
                <c:pt idx="3">
                  <c:v>1.3590438527001141</c:v>
                </c:pt>
                <c:pt idx="4">
                  <c:v>1.4758384219298684</c:v>
                </c:pt>
                <c:pt idx="5">
                  <c:v>1.9376619988451962</c:v>
                </c:pt>
                <c:pt idx="6">
                  <c:v>2.1842123824747168</c:v>
                </c:pt>
                <c:pt idx="7">
                  <c:v>1.1151886749824169</c:v>
                </c:pt>
                <c:pt idx="8">
                  <c:v>1.4366026785613761</c:v>
                </c:pt>
                <c:pt idx="9">
                  <c:v>1.9357406900655305</c:v>
                </c:pt>
                <c:pt idx="10">
                  <c:v>1.546105693909809</c:v>
                </c:pt>
                <c:pt idx="11">
                  <c:v>1.5153197071625271</c:v>
                </c:pt>
                <c:pt idx="12">
                  <c:v>1.7549288852718361</c:v>
                </c:pt>
                <c:pt idx="13">
                  <c:v>1.1539430037735474</c:v>
                </c:pt>
                <c:pt idx="14">
                  <c:v>1.3930484388360458</c:v>
                </c:pt>
                <c:pt idx="15">
                  <c:v>1.4177055056691532</c:v>
                </c:pt>
                <c:pt idx="16">
                  <c:v>1.1723146353507021</c:v>
                </c:pt>
                <c:pt idx="17">
                  <c:v>1.1533209872536352</c:v>
                </c:pt>
                <c:pt idx="18">
                  <c:v>1.0182457324841208</c:v>
                </c:pt>
                <c:pt idx="19">
                  <c:v>0.94315152594126339</c:v>
                </c:pt>
                <c:pt idx="20">
                  <c:v>0.95213058918573368</c:v>
                </c:pt>
              </c:numCache>
            </c:numRef>
          </c:val>
          <c:extLst>
            <c:ext xmlns:c16="http://schemas.microsoft.com/office/drawing/2014/chart" uri="{C3380CC4-5D6E-409C-BE32-E72D297353CC}">
              <c16:uniqueId val="{00000001-EFC5-4020-9710-D8EE2C7CA675}"/>
            </c:ext>
          </c:extLst>
        </c:ser>
        <c:ser>
          <c:idx val="0"/>
          <c:order val="3"/>
          <c:tx>
            <c:v>MFP</c:v>
          </c:tx>
          <c:spPr>
            <a:solidFill>
              <a:srgbClr val="D81B22"/>
            </a:solidFill>
            <a:ln>
              <a:noFill/>
            </a:ln>
            <a:effectLst/>
          </c:spPr>
          <c:invertIfNegative val="0"/>
          <c:cat>
            <c:numRef>
              <c:f>Luxembourg!$A$10:$A$30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Luxembourg!$C$10:$C$30</c:f>
              <c:numCache>
                <c:formatCode>0.0</c:formatCode>
                <c:ptCount val="21"/>
                <c:pt idx="0">
                  <c:v>-4.608458556701911E-2</c:v>
                </c:pt>
                <c:pt idx="1">
                  <c:v>-0.21392582553700468</c:v>
                </c:pt>
                <c:pt idx="2">
                  <c:v>0.5520534527087424</c:v>
                </c:pt>
                <c:pt idx="3">
                  <c:v>-7.6357891896260854E-2</c:v>
                </c:pt>
                <c:pt idx="4">
                  <c:v>2.9748734725357497</c:v>
                </c:pt>
                <c:pt idx="5">
                  <c:v>3.0391858842511299</c:v>
                </c:pt>
                <c:pt idx="6">
                  <c:v>-5.1984691875364426</c:v>
                </c:pt>
                <c:pt idx="7">
                  <c:v>-2.7273812853927657</c:v>
                </c:pt>
                <c:pt idx="8">
                  <c:v>1.0090497373495473</c:v>
                </c:pt>
                <c:pt idx="9">
                  <c:v>-3.1340249681349075</c:v>
                </c:pt>
                <c:pt idx="10">
                  <c:v>-1.3193809254053659</c:v>
                </c:pt>
                <c:pt idx="11">
                  <c:v>0.8086037713400569</c:v>
                </c:pt>
                <c:pt idx="12">
                  <c:v>-1.3066679457785428</c:v>
                </c:pt>
                <c:pt idx="13">
                  <c:v>1.7123698791623527</c:v>
                </c:pt>
                <c:pt idx="14">
                  <c:v>2.0005721230439901</c:v>
                </c:pt>
                <c:pt idx="15">
                  <c:v>-2.0500463179619217</c:v>
                </c:pt>
                <c:pt idx="16">
                  <c:v>-1.5448427696169638</c:v>
                </c:pt>
                <c:pt idx="17">
                  <c:v>-0.18698494576945301</c:v>
                </c:pt>
                <c:pt idx="18">
                  <c:v>1.3259990068545351</c:v>
                </c:pt>
                <c:pt idx="19">
                  <c:v>0.97093796748347294</c:v>
                </c:pt>
                <c:pt idx="20">
                  <c:v>-4.1377647464567602</c:v>
                </c:pt>
              </c:numCache>
            </c:numRef>
          </c:val>
          <c:extLst>
            <c:ext xmlns:c16="http://schemas.microsoft.com/office/drawing/2014/chart" uri="{C3380CC4-5D6E-409C-BE32-E72D297353CC}">
              <c16:uniqueId val="{00000002-EFC5-4020-9710-D8EE2C7CA675}"/>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Luxembourg!$D$10:$D$30</c:f>
              <c:numCache>
                <c:formatCode>0.0</c:formatCode>
                <c:ptCount val="21"/>
                <c:pt idx="0">
                  <c:v>3.0465642738102261</c:v>
                </c:pt>
                <c:pt idx="1">
                  <c:v>2.4843699670144659</c:v>
                </c:pt>
                <c:pt idx="2">
                  <c:v>3.6105073151576406</c:v>
                </c:pt>
                <c:pt idx="3">
                  <c:v>2.1361607476883648</c:v>
                </c:pt>
                <c:pt idx="4">
                  <c:v>6.5990067634073668</c:v>
                </c:pt>
                <c:pt idx="5">
                  <c:v>7.8224429717664634</c:v>
                </c:pt>
                <c:pt idx="6">
                  <c:v>-0.45605028691984018</c:v>
                </c:pt>
                <c:pt idx="7">
                  <c:v>-3.3591327011281535</c:v>
                </c:pt>
                <c:pt idx="8">
                  <c:v>3.5866264663502179</c:v>
                </c:pt>
                <c:pt idx="9">
                  <c:v>0.3715165664276654</c:v>
                </c:pt>
                <c:pt idx="10">
                  <c:v>1.3675414178774048</c:v>
                </c:pt>
                <c:pt idx="11">
                  <c:v>3.0552694044555295</c:v>
                </c:pt>
                <c:pt idx="12">
                  <c:v>2.0261102823026178</c:v>
                </c:pt>
                <c:pt idx="13">
                  <c:v>4.5169280164207848</c:v>
                </c:pt>
                <c:pt idx="14">
                  <c:v>4.952325234133248</c:v>
                </c:pt>
                <c:pt idx="15">
                  <c:v>0.9043403819692486</c:v>
                </c:pt>
                <c:pt idx="16">
                  <c:v>1.2326999570971608</c:v>
                </c:pt>
                <c:pt idx="17">
                  <c:v>2.7882547903704591</c:v>
                </c:pt>
                <c:pt idx="18">
                  <c:v>-0.88976047694995231</c:v>
                </c:pt>
                <c:pt idx="19">
                  <c:v>7.0006480565934837</c:v>
                </c:pt>
                <c:pt idx="20">
                  <c:v>-1.4935758352892847</c:v>
                </c:pt>
              </c:numCache>
            </c:numRef>
          </c:val>
          <c:smooth val="0"/>
          <c:extLst>
            <c:ext xmlns:c16="http://schemas.microsoft.com/office/drawing/2014/chart" uri="{C3380CC4-5D6E-409C-BE32-E72D297353CC}">
              <c16:uniqueId val="{00000003-EFC5-4020-9710-D8EE2C7CA675}"/>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Hungary!$A$10:$A$30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Hungary!$C$10:$C$30</c:f>
              <c:numCache>
                <c:formatCode>0.0</c:formatCode>
                <c:ptCount val="21"/>
                <c:pt idx="0">
                  <c:v>4.5259673160682183</c:v>
                </c:pt>
                <c:pt idx="1">
                  <c:v>3.1503600600933206</c:v>
                </c:pt>
                <c:pt idx="2">
                  <c:v>4.6283245337729086</c:v>
                </c:pt>
                <c:pt idx="3">
                  <c:v>4.7261470721626084</c:v>
                </c:pt>
                <c:pt idx="4">
                  <c:v>3.2483953876024891</c:v>
                </c:pt>
                <c:pt idx="5">
                  <c:v>0.84209885042384836</c:v>
                </c:pt>
                <c:pt idx="6">
                  <c:v>1.1982673451767263</c:v>
                </c:pt>
                <c:pt idx="7">
                  <c:v>-5.178157805556312</c:v>
                </c:pt>
                <c:pt idx="8">
                  <c:v>1.333550519551187</c:v>
                </c:pt>
                <c:pt idx="9">
                  <c:v>2.372410289124419</c:v>
                </c:pt>
                <c:pt idx="10">
                  <c:v>-0.96250919660914569</c:v>
                </c:pt>
                <c:pt idx="11">
                  <c:v>1.3801569288768212</c:v>
                </c:pt>
                <c:pt idx="12">
                  <c:v>1.0779939040575175</c:v>
                </c:pt>
                <c:pt idx="13">
                  <c:v>1.8360943559601588</c:v>
                </c:pt>
                <c:pt idx="14">
                  <c:v>3.6424543579160196E-2</c:v>
                </c:pt>
                <c:pt idx="15">
                  <c:v>2.791258596827376</c:v>
                </c:pt>
                <c:pt idx="16">
                  <c:v>4.3072334822603802</c:v>
                </c:pt>
                <c:pt idx="17">
                  <c:v>3.3646952157030015</c:v>
                </c:pt>
                <c:pt idx="18">
                  <c:v>-2.8533436574773487</c:v>
                </c:pt>
                <c:pt idx="19">
                  <c:v>4.4488311392551116</c:v>
                </c:pt>
                <c:pt idx="20">
                  <c:v>2.5230224740658667</c:v>
                </c:pt>
              </c:numCache>
            </c:numRef>
          </c:val>
          <c:smooth val="0"/>
          <c:extLst>
            <c:ext xmlns:c16="http://schemas.microsoft.com/office/drawing/2014/chart" uri="{C3380CC4-5D6E-409C-BE32-E72D297353CC}">
              <c16:uniqueId val="{00000001-5016-4465-989C-79471F8CE454}"/>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5016-4465-989C-79471F8CE454}"/>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4786924023726928"/>
          <c:w val="0.42140114796634731"/>
          <c:h val="0.15213075976273069"/>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Hungary!$A$10:$A$30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Hungary!$E$10:$E$30</c:f>
              <c:numCache>
                <c:formatCode>0.0</c:formatCode>
                <c:ptCount val="21"/>
                <c:pt idx="0">
                  <c:v>-0.54080157304551379</c:v>
                </c:pt>
                <c:pt idx="1">
                  <c:v>0.28899391438880162</c:v>
                </c:pt>
                <c:pt idx="2">
                  <c:v>-0.51661563036789115</c:v>
                </c:pt>
                <c:pt idx="3">
                  <c:v>-1.2839651903346021</c:v>
                </c:pt>
                <c:pt idx="4">
                  <c:v>-0.1350292043855531</c:v>
                </c:pt>
                <c:pt idx="5">
                  <c:v>-1.2579794813894618</c:v>
                </c:pt>
                <c:pt idx="6">
                  <c:v>-1.1106003349333948</c:v>
                </c:pt>
                <c:pt idx="7">
                  <c:v>-2.2738622973216649</c:v>
                </c:pt>
                <c:pt idx="8">
                  <c:v>-0.20419207071783074</c:v>
                </c:pt>
                <c:pt idx="9">
                  <c:v>-0.47776200520175405</c:v>
                </c:pt>
                <c:pt idx="10">
                  <c:v>2.9204995532052309E-2</c:v>
                </c:pt>
                <c:pt idx="11">
                  <c:v>0.71760160813868534</c:v>
                </c:pt>
                <c:pt idx="12">
                  <c:v>2.9867172763726266</c:v>
                </c:pt>
                <c:pt idx="13">
                  <c:v>1.2657009344848213</c:v>
                </c:pt>
                <c:pt idx="14">
                  <c:v>2.2807211899214526</c:v>
                </c:pt>
                <c:pt idx="15">
                  <c:v>0.51999357935792545</c:v>
                </c:pt>
                <c:pt idx="16">
                  <c:v>0.43249940962665528</c:v>
                </c:pt>
                <c:pt idx="17">
                  <c:v>0.22763916222793731</c:v>
                </c:pt>
                <c:pt idx="18">
                  <c:v>-2.6859033426276495</c:v>
                </c:pt>
                <c:pt idx="19">
                  <c:v>2.0019505845114289</c:v>
                </c:pt>
                <c:pt idx="20">
                  <c:v>1.0994911483637966</c:v>
                </c:pt>
              </c:numCache>
            </c:numRef>
          </c:val>
          <c:extLst>
            <c:ext xmlns:c16="http://schemas.microsoft.com/office/drawing/2014/chart" uri="{C3380CC4-5D6E-409C-BE32-E72D297353CC}">
              <c16:uniqueId val="{00000000-E4B9-4F71-A612-9E85902A6907}"/>
            </c:ext>
          </c:extLst>
        </c:ser>
        <c:ser>
          <c:idx val="3"/>
          <c:order val="2"/>
          <c:tx>
            <c:v>Capital stock</c:v>
          </c:tx>
          <c:spPr>
            <a:solidFill>
              <a:srgbClr val="1E88E5"/>
            </a:solidFill>
            <a:ln>
              <a:noFill/>
            </a:ln>
            <a:effectLst/>
          </c:spPr>
          <c:invertIfNegative val="0"/>
          <c:cat>
            <c:numRef>
              <c:f>Hungary!$A$10:$A$30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Hungary!$F$10:$F$30</c:f>
              <c:numCache>
                <c:formatCode>0.0</c:formatCode>
                <c:ptCount val="21"/>
                <c:pt idx="0">
                  <c:v>0.73359431532324471</c:v>
                </c:pt>
                <c:pt idx="1">
                  <c:v>0.57545509405316331</c:v>
                </c:pt>
                <c:pt idx="2">
                  <c:v>0.71277485939758289</c:v>
                </c:pt>
                <c:pt idx="3">
                  <c:v>0.69922127443547188</c:v>
                </c:pt>
                <c:pt idx="4">
                  <c:v>0.69872200192715539</c:v>
                </c:pt>
                <c:pt idx="5">
                  <c:v>0.68991569116810669</c:v>
                </c:pt>
                <c:pt idx="6">
                  <c:v>0.73218841860432848</c:v>
                </c:pt>
                <c:pt idx="7">
                  <c:v>0.39306545245778635</c:v>
                </c:pt>
                <c:pt idx="8">
                  <c:v>0.14750295459914908</c:v>
                </c:pt>
                <c:pt idx="9">
                  <c:v>9.7285581378455929E-2</c:v>
                </c:pt>
                <c:pt idx="10">
                  <c:v>-0.41604003037096421</c:v>
                </c:pt>
                <c:pt idx="11">
                  <c:v>0.5699703183441347</c:v>
                </c:pt>
                <c:pt idx="12">
                  <c:v>0.42350202497083744</c:v>
                </c:pt>
                <c:pt idx="13">
                  <c:v>0.46584313855425108</c:v>
                </c:pt>
                <c:pt idx="14">
                  <c:v>0.22967834313483276</c:v>
                </c:pt>
                <c:pt idx="15">
                  <c:v>0.63319331591505545</c:v>
                </c:pt>
                <c:pt idx="16">
                  <c:v>0.94666539373721437</c:v>
                </c:pt>
                <c:pt idx="17">
                  <c:v>1.2011833483924759</c:v>
                </c:pt>
                <c:pt idx="18">
                  <c:v>0.8206685808102262</c:v>
                </c:pt>
                <c:pt idx="19">
                  <c:v>0.90119898218179562</c:v>
                </c:pt>
                <c:pt idx="20">
                  <c:v>0.83614088219965943</c:v>
                </c:pt>
              </c:numCache>
            </c:numRef>
          </c:val>
          <c:extLst>
            <c:ext xmlns:c16="http://schemas.microsoft.com/office/drawing/2014/chart" uri="{C3380CC4-5D6E-409C-BE32-E72D297353CC}">
              <c16:uniqueId val="{00000001-E4B9-4F71-A612-9E85902A6907}"/>
            </c:ext>
          </c:extLst>
        </c:ser>
        <c:ser>
          <c:idx val="0"/>
          <c:order val="3"/>
          <c:tx>
            <c:v>MFP</c:v>
          </c:tx>
          <c:spPr>
            <a:solidFill>
              <a:srgbClr val="D81B22"/>
            </a:solidFill>
            <a:ln>
              <a:noFill/>
            </a:ln>
            <a:effectLst/>
          </c:spPr>
          <c:invertIfNegative val="0"/>
          <c:cat>
            <c:numRef>
              <c:f>Hungary!$A$10:$A$30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Hungary!$C$10:$C$30</c:f>
              <c:numCache>
                <c:formatCode>0.0</c:formatCode>
                <c:ptCount val="21"/>
                <c:pt idx="0">
                  <c:v>4.5259673160682183</c:v>
                </c:pt>
                <c:pt idx="1">
                  <c:v>3.1503600600933206</c:v>
                </c:pt>
                <c:pt idx="2">
                  <c:v>4.6283245337729086</c:v>
                </c:pt>
                <c:pt idx="3">
                  <c:v>4.7261470721626084</c:v>
                </c:pt>
                <c:pt idx="4">
                  <c:v>3.2483953876024891</c:v>
                </c:pt>
                <c:pt idx="5">
                  <c:v>0.84209885042384836</c:v>
                </c:pt>
                <c:pt idx="6">
                  <c:v>1.1982673451767263</c:v>
                </c:pt>
                <c:pt idx="7">
                  <c:v>-5.178157805556312</c:v>
                </c:pt>
                <c:pt idx="8">
                  <c:v>1.333550519551187</c:v>
                </c:pt>
                <c:pt idx="9">
                  <c:v>2.372410289124419</c:v>
                </c:pt>
                <c:pt idx="10">
                  <c:v>-0.96250919660914569</c:v>
                </c:pt>
                <c:pt idx="11">
                  <c:v>1.3801569288768212</c:v>
                </c:pt>
                <c:pt idx="12">
                  <c:v>1.0779939040575175</c:v>
                </c:pt>
                <c:pt idx="13">
                  <c:v>1.8360943559601588</c:v>
                </c:pt>
                <c:pt idx="14">
                  <c:v>3.6424543579160196E-2</c:v>
                </c:pt>
                <c:pt idx="15">
                  <c:v>2.791258596827376</c:v>
                </c:pt>
                <c:pt idx="16">
                  <c:v>4.3072334822603802</c:v>
                </c:pt>
                <c:pt idx="17">
                  <c:v>3.3646952157030015</c:v>
                </c:pt>
                <c:pt idx="18">
                  <c:v>-2.8533436574773487</c:v>
                </c:pt>
                <c:pt idx="19">
                  <c:v>4.4488311392551116</c:v>
                </c:pt>
                <c:pt idx="20">
                  <c:v>2.5230224740658667</c:v>
                </c:pt>
              </c:numCache>
            </c:numRef>
          </c:val>
          <c:extLst>
            <c:ext xmlns:c16="http://schemas.microsoft.com/office/drawing/2014/chart" uri="{C3380CC4-5D6E-409C-BE32-E72D297353CC}">
              <c16:uniqueId val="{00000002-E4B9-4F71-A612-9E85902A6907}"/>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Hungary!$D$10:$D$30</c:f>
              <c:numCache>
                <c:formatCode>0.0</c:formatCode>
                <c:ptCount val="21"/>
                <c:pt idx="0">
                  <c:v>4.7187600583459499</c:v>
                </c:pt>
                <c:pt idx="1">
                  <c:v>4.0148090685352855</c:v>
                </c:pt>
                <c:pt idx="2">
                  <c:v>4.8244837628026005</c:v>
                </c:pt>
                <c:pt idx="3">
                  <c:v>4.141403156263479</c:v>
                </c:pt>
                <c:pt idx="4">
                  <c:v>3.8120881851440913</c:v>
                </c:pt>
                <c:pt idx="5">
                  <c:v>0.27403506020249324</c:v>
                </c:pt>
                <c:pt idx="6">
                  <c:v>0.81985542884766005</c:v>
                </c:pt>
                <c:pt idx="7">
                  <c:v>-7.0589546504201905</c:v>
                </c:pt>
                <c:pt idx="8">
                  <c:v>1.2768614034325054</c:v>
                </c:pt>
                <c:pt idx="9">
                  <c:v>1.9919338653011209</c:v>
                </c:pt>
                <c:pt idx="10">
                  <c:v>-1.3493442314480575</c:v>
                </c:pt>
                <c:pt idx="11">
                  <c:v>2.6677288553596412</c:v>
                </c:pt>
                <c:pt idx="12">
                  <c:v>4.4882132054009816</c:v>
                </c:pt>
                <c:pt idx="13">
                  <c:v>3.5676384289992313</c:v>
                </c:pt>
                <c:pt idx="14">
                  <c:v>2.5468240766354455</c:v>
                </c:pt>
                <c:pt idx="15">
                  <c:v>3.9444454921003569</c:v>
                </c:pt>
                <c:pt idx="16">
                  <c:v>5.6863982856242501</c:v>
                </c:pt>
                <c:pt idx="17">
                  <c:v>4.7935177263234152</c:v>
                </c:pt>
                <c:pt idx="18">
                  <c:v>-4.7185784192947722</c:v>
                </c:pt>
                <c:pt idx="19">
                  <c:v>7.3519807059483355</c:v>
                </c:pt>
                <c:pt idx="20">
                  <c:v>4.4586545046293224</c:v>
                </c:pt>
              </c:numCache>
            </c:numRef>
          </c:val>
          <c:smooth val="0"/>
          <c:extLst>
            <c:ext xmlns:c16="http://schemas.microsoft.com/office/drawing/2014/chart" uri="{C3380CC4-5D6E-409C-BE32-E72D297353CC}">
              <c16:uniqueId val="{00000003-E4B9-4F71-A612-9E85902A6907}"/>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Malta!$A$10:$A$30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Malta!$C$10:$C$30</c:f>
              <c:numCache>
                <c:formatCode>0.0</c:formatCode>
                <c:ptCount val="21"/>
                <c:pt idx="0">
                  <c:v>3.1940709449346705</c:v>
                </c:pt>
                <c:pt idx="1">
                  <c:v>3.4069699006822605</c:v>
                </c:pt>
                <c:pt idx="2">
                  <c:v>0.40653676309781761</c:v>
                </c:pt>
                <c:pt idx="3">
                  <c:v>-0.96547280656385981</c:v>
                </c:pt>
                <c:pt idx="4">
                  <c:v>1.0036873848585377</c:v>
                </c:pt>
                <c:pt idx="5">
                  <c:v>1.4925918285179218</c:v>
                </c:pt>
                <c:pt idx="6">
                  <c:v>2.0519320521677571</c:v>
                </c:pt>
                <c:pt idx="7">
                  <c:v>-0.87626673968987401</c:v>
                </c:pt>
                <c:pt idx="8">
                  <c:v>5.1640322002525583</c:v>
                </c:pt>
                <c:pt idx="9">
                  <c:v>-1.5813871112715481</c:v>
                </c:pt>
                <c:pt idx="10">
                  <c:v>3.3858126445625745</c:v>
                </c:pt>
                <c:pt idx="11">
                  <c:v>5.0508206969298959</c:v>
                </c:pt>
                <c:pt idx="12">
                  <c:v>6.3008043560650027</c:v>
                </c:pt>
                <c:pt idx="13">
                  <c:v>3.8230580447070972</c:v>
                </c:pt>
                <c:pt idx="14">
                  <c:v>-5.1656989647739353</c:v>
                </c:pt>
                <c:pt idx="15">
                  <c:v>8.0758978110954942</c:v>
                </c:pt>
                <c:pt idx="16">
                  <c:v>1.001755436341174</c:v>
                </c:pt>
                <c:pt idx="17">
                  <c:v>-2.7103443292247995</c:v>
                </c:pt>
                <c:pt idx="18">
                  <c:v>1.4483414907863552</c:v>
                </c:pt>
                <c:pt idx="19">
                  <c:v>8.243192330528057</c:v>
                </c:pt>
                <c:pt idx="20">
                  <c:v>-1.7685174635863827</c:v>
                </c:pt>
              </c:numCache>
            </c:numRef>
          </c:val>
          <c:smooth val="0"/>
          <c:extLst>
            <c:ext xmlns:c16="http://schemas.microsoft.com/office/drawing/2014/chart" uri="{C3380CC4-5D6E-409C-BE32-E72D297353CC}">
              <c16:uniqueId val="{00000001-6EC8-45B5-8329-73C994E9F6A8}"/>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6EC8-45B5-8329-73C994E9F6A8}"/>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90596248987484973"/>
          <c:w val="0.40713581273096927"/>
          <c:h val="9.4037510125150256E-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Malta!$A$10:$A$30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Malta!$E$10:$E$30</c:f>
              <c:numCache>
                <c:formatCode>0.0</c:formatCode>
                <c:ptCount val="21"/>
                <c:pt idx="0">
                  <c:v>0.32051188056588825</c:v>
                </c:pt>
                <c:pt idx="1">
                  <c:v>0.11798379366647956</c:v>
                </c:pt>
                <c:pt idx="2">
                  <c:v>-2.1451539396986186</c:v>
                </c:pt>
                <c:pt idx="3">
                  <c:v>0.60937830213904243</c:v>
                </c:pt>
                <c:pt idx="4">
                  <c:v>1.3354114192669944</c:v>
                </c:pt>
                <c:pt idx="5">
                  <c:v>2.0515121574342601</c:v>
                </c:pt>
                <c:pt idx="6">
                  <c:v>1.6045164915328989</c:v>
                </c:pt>
                <c:pt idx="7">
                  <c:v>8.1197650589812459E-2</c:v>
                </c:pt>
                <c:pt idx="8">
                  <c:v>-0.58572410695861421</c:v>
                </c:pt>
                <c:pt idx="9">
                  <c:v>-0.17161160629346017</c:v>
                </c:pt>
                <c:pt idx="10">
                  <c:v>0.48826345718797814</c:v>
                </c:pt>
                <c:pt idx="11">
                  <c:v>2.0085292439560014</c:v>
                </c:pt>
                <c:pt idx="12">
                  <c:v>1.7812291622822034</c:v>
                </c:pt>
                <c:pt idx="13">
                  <c:v>2.0815800116932244</c:v>
                </c:pt>
                <c:pt idx="14">
                  <c:v>4.5889335623653125</c:v>
                </c:pt>
                <c:pt idx="15">
                  <c:v>2.1507965960723703</c:v>
                </c:pt>
                <c:pt idx="16">
                  <c:v>4.3368396735402213</c:v>
                </c:pt>
                <c:pt idx="17">
                  <c:v>5.0341500796362455</c:v>
                </c:pt>
                <c:pt idx="18">
                  <c:v>-3.00178197557462</c:v>
                </c:pt>
                <c:pt idx="19">
                  <c:v>1.761671331445408</c:v>
                </c:pt>
                <c:pt idx="20">
                  <c:v>2.7915940032185818</c:v>
                </c:pt>
              </c:numCache>
            </c:numRef>
          </c:val>
          <c:extLst>
            <c:ext xmlns:c16="http://schemas.microsoft.com/office/drawing/2014/chart" uri="{C3380CC4-5D6E-409C-BE32-E72D297353CC}">
              <c16:uniqueId val="{00000000-3A24-4CA1-82E7-AE3FD438BCBE}"/>
            </c:ext>
          </c:extLst>
        </c:ser>
        <c:ser>
          <c:idx val="3"/>
          <c:order val="2"/>
          <c:tx>
            <c:v>Capital stock</c:v>
          </c:tx>
          <c:spPr>
            <a:solidFill>
              <a:srgbClr val="1E88E5"/>
            </a:solidFill>
            <a:ln>
              <a:noFill/>
            </a:ln>
            <a:effectLst/>
          </c:spPr>
          <c:invertIfNegative val="0"/>
          <c:cat>
            <c:numRef>
              <c:f>Malta!$A$10:$A$30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Malta!$F$10:$F$30</c:f>
              <c:numCache>
                <c:formatCode>0.0</c:formatCode>
                <c:ptCount val="21"/>
                <c:pt idx="0">
                  <c:v>-3.2850712632961583E-2</c:v>
                </c:pt>
                <c:pt idx="1">
                  <c:v>0.8535292701095456</c:v>
                </c:pt>
                <c:pt idx="2">
                  <c:v>0.69310136510643239</c:v>
                </c:pt>
                <c:pt idx="3">
                  <c:v>1.0263701554880742</c:v>
                </c:pt>
                <c:pt idx="4">
                  <c:v>0.4301601578528837</c:v>
                </c:pt>
                <c:pt idx="5">
                  <c:v>1.8802371094202162</c:v>
                </c:pt>
                <c:pt idx="6">
                  <c:v>1.2324186629772376</c:v>
                </c:pt>
                <c:pt idx="7">
                  <c:v>1.3498786774244291</c:v>
                </c:pt>
                <c:pt idx="8">
                  <c:v>1.0211254943958505</c:v>
                </c:pt>
                <c:pt idx="9">
                  <c:v>0.84011572434359938</c:v>
                </c:pt>
                <c:pt idx="10">
                  <c:v>0.79273593250769714</c:v>
                </c:pt>
                <c:pt idx="11">
                  <c:v>0.39423255400777663</c:v>
                </c:pt>
                <c:pt idx="12">
                  <c:v>0.64990516596551751</c:v>
                </c:pt>
                <c:pt idx="13">
                  <c:v>2.8328775236151538</c:v>
                </c:pt>
                <c:pt idx="14">
                  <c:v>4.6477745088537121</c:v>
                </c:pt>
                <c:pt idx="15">
                  <c:v>2.1304662793556863</c:v>
                </c:pt>
                <c:pt idx="16">
                  <c:v>1.8535466032679517</c:v>
                </c:pt>
                <c:pt idx="17">
                  <c:v>1.7793757296287174</c:v>
                </c:pt>
                <c:pt idx="18">
                  <c:v>1.3122426617512666</c:v>
                </c:pt>
                <c:pt idx="19">
                  <c:v>2.3785144324578429</c:v>
                </c:pt>
                <c:pt idx="20">
                  <c:v>4.8163566098083104</c:v>
                </c:pt>
              </c:numCache>
            </c:numRef>
          </c:val>
          <c:extLst>
            <c:ext xmlns:c16="http://schemas.microsoft.com/office/drawing/2014/chart" uri="{C3380CC4-5D6E-409C-BE32-E72D297353CC}">
              <c16:uniqueId val="{00000001-3A24-4CA1-82E7-AE3FD438BCBE}"/>
            </c:ext>
          </c:extLst>
        </c:ser>
        <c:ser>
          <c:idx val="0"/>
          <c:order val="3"/>
          <c:tx>
            <c:v>MFP</c:v>
          </c:tx>
          <c:spPr>
            <a:solidFill>
              <a:srgbClr val="D81B22"/>
            </a:solidFill>
            <a:ln>
              <a:noFill/>
            </a:ln>
            <a:effectLst/>
          </c:spPr>
          <c:invertIfNegative val="0"/>
          <c:cat>
            <c:numRef>
              <c:f>Malta!$A$10:$A$30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Malta!$C$10:$C$30</c:f>
              <c:numCache>
                <c:formatCode>0.0</c:formatCode>
                <c:ptCount val="21"/>
                <c:pt idx="0">
                  <c:v>3.1940709449346705</c:v>
                </c:pt>
                <c:pt idx="1">
                  <c:v>3.4069699006822605</c:v>
                </c:pt>
                <c:pt idx="2">
                  <c:v>0.40653676309781761</c:v>
                </c:pt>
                <c:pt idx="3">
                  <c:v>-0.96547280656385981</c:v>
                </c:pt>
                <c:pt idx="4">
                  <c:v>1.0036873848585377</c:v>
                </c:pt>
                <c:pt idx="5">
                  <c:v>1.4925918285179218</c:v>
                </c:pt>
                <c:pt idx="6">
                  <c:v>2.0519320521677571</c:v>
                </c:pt>
                <c:pt idx="7">
                  <c:v>-0.87626673968987401</c:v>
                </c:pt>
                <c:pt idx="8">
                  <c:v>5.1640322002525583</c:v>
                </c:pt>
                <c:pt idx="9">
                  <c:v>-1.5813871112715481</c:v>
                </c:pt>
                <c:pt idx="10">
                  <c:v>3.3858126445625745</c:v>
                </c:pt>
                <c:pt idx="11">
                  <c:v>5.0508206969298959</c:v>
                </c:pt>
                <c:pt idx="12">
                  <c:v>6.3008043560650027</c:v>
                </c:pt>
                <c:pt idx="13">
                  <c:v>3.8230580447070972</c:v>
                </c:pt>
                <c:pt idx="14">
                  <c:v>-5.1656989647739353</c:v>
                </c:pt>
                <c:pt idx="15">
                  <c:v>8.0758978110954942</c:v>
                </c:pt>
                <c:pt idx="16">
                  <c:v>1.001755436341174</c:v>
                </c:pt>
                <c:pt idx="17">
                  <c:v>-2.7103443292247995</c:v>
                </c:pt>
                <c:pt idx="18">
                  <c:v>1.4483414907863552</c:v>
                </c:pt>
                <c:pt idx="19">
                  <c:v>8.243192330528057</c:v>
                </c:pt>
                <c:pt idx="20">
                  <c:v>-1.7685174635863827</c:v>
                </c:pt>
              </c:numCache>
            </c:numRef>
          </c:val>
          <c:extLst>
            <c:ext xmlns:c16="http://schemas.microsoft.com/office/drawing/2014/chart" uri="{C3380CC4-5D6E-409C-BE32-E72D297353CC}">
              <c16:uniqueId val="{00000002-3A24-4CA1-82E7-AE3FD438BCBE}"/>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Malta!$D$10:$D$30</c:f>
              <c:numCache>
                <c:formatCode>0.0</c:formatCode>
                <c:ptCount val="21"/>
                <c:pt idx="0">
                  <c:v>3.4817321128675971</c:v>
                </c:pt>
                <c:pt idx="1">
                  <c:v>4.3784829644582857</c:v>
                </c:pt>
                <c:pt idx="2">
                  <c:v>-1.0455158114943686</c:v>
                </c:pt>
                <c:pt idx="3">
                  <c:v>0.67027565106325682</c:v>
                </c:pt>
                <c:pt idx="4">
                  <c:v>2.7692589619784158</c:v>
                </c:pt>
                <c:pt idx="5">
                  <c:v>5.4243410953723981</c:v>
                </c:pt>
                <c:pt idx="6">
                  <c:v>4.8888672066778938</c:v>
                </c:pt>
                <c:pt idx="7">
                  <c:v>0.55480958832436755</c:v>
                </c:pt>
                <c:pt idx="8">
                  <c:v>5.5994335876897949</c:v>
                </c:pt>
                <c:pt idx="9">
                  <c:v>-0.91288299322140887</c:v>
                </c:pt>
                <c:pt idx="10">
                  <c:v>4.6668120342582498</c:v>
                </c:pt>
                <c:pt idx="11">
                  <c:v>7.4535824948936735</c:v>
                </c:pt>
                <c:pt idx="12">
                  <c:v>8.7319386843127234</c:v>
                </c:pt>
                <c:pt idx="13">
                  <c:v>8.7375155800154758</c:v>
                </c:pt>
                <c:pt idx="14">
                  <c:v>4.0710091064450893</c:v>
                </c:pt>
                <c:pt idx="15">
                  <c:v>12.357160686523549</c:v>
                </c:pt>
                <c:pt idx="16">
                  <c:v>7.192141713149347</c:v>
                </c:pt>
                <c:pt idx="17">
                  <c:v>4.1031814800401634</c:v>
                </c:pt>
                <c:pt idx="18">
                  <c:v>-0.24119782303699822</c:v>
                </c:pt>
                <c:pt idx="19">
                  <c:v>12.383378094431308</c:v>
                </c:pt>
                <c:pt idx="20">
                  <c:v>5.8394331494405094</c:v>
                </c:pt>
              </c:numCache>
            </c:numRef>
          </c:val>
          <c:smooth val="0"/>
          <c:extLst>
            <c:ext xmlns:c16="http://schemas.microsoft.com/office/drawing/2014/chart" uri="{C3380CC4-5D6E-409C-BE32-E72D297353CC}">
              <c16:uniqueId val="{00000003-3A24-4CA1-82E7-AE3FD438BCBE}"/>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Netherlands!$A$10:$A$30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Netherlands!$C$10:$C$30</c:f>
              <c:numCache>
                <c:formatCode>0.0</c:formatCode>
                <c:ptCount val="21"/>
                <c:pt idx="0">
                  <c:v>7.9669394735799592E-3</c:v>
                </c:pt>
                <c:pt idx="1">
                  <c:v>0.40566595263537875</c:v>
                </c:pt>
                <c:pt idx="2">
                  <c:v>1.4468493457093778</c:v>
                </c:pt>
                <c:pt idx="3">
                  <c:v>1.8003423716711295</c:v>
                </c:pt>
                <c:pt idx="4">
                  <c:v>1.5580150942106277</c:v>
                </c:pt>
                <c:pt idx="5">
                  <c:v>1.1751826964028758</c:v>
                </c:pt>
                <c:pt idx="6">
                  <c:v>0.65932881467237925</c:v>
                </c:pt>
                <c:pt idx="7">
                  <c:v>-2.8020055309278562</c:v>
                </c:pt>
                <c:pt idx="8">
                  <c:v>1.7373026032185024</c:v>
                </c:pt>
                <c:pt idx="9">
                  <c:v>1.2043349394001663</c:v>
                </c:pt>
                <c:pt idx="10">
                  <c:v>-0.30372482403893974</c:v>
                </c:pt>
                <c:pt idx="11">
                  <c:v>0.85338947831130796</c:v>
                </c:pt>
                <c:pt idx="12">
                  <c:v>1.1134824508723136</c:v>
                </c:pt>
                <c:pt idx="13">
                  <c:v>0.84298647644966807</c:v>
                </c:pt>
                <c:pt idx="14">
                  <c:v>0.27434048649131315</c:v>
                </c:pt>
                <c:pt idx="15">
                  <c:v>0.76035688673894219</c:v>
                </c:pt>
                <c:pt idx="16">
                  <c:v>-6.4477858424012491E-2</c:v>
                </c:pt>
                <c:pt idx="17">
                  <c:v>6.7700273037485381E-5</c:v>
                </c:pt>
                <c:pt idx="18">
                  <c:v>-1.5687949423417678</c:v>
                </c:pt>
                <c:pt idx="19">
                  <c:v>2.8437574783317614</c:v>
                </c:pt>
                <c:pt idx="20">
                  <c:v>2.4584669231120291</c:v>
                </c:pt>
              </c:numCache>
            </c:numRef>
          </c:val>
          <c:smooth val="0"/>
          <c:extLst>
            <c:ext xmlns:c16="http://schemas.microsoft.com/office/drawing/2014/chart" uri="{C3380CC4-5D6E-409C-BE32-E72D297353CC}">
              <c16:uniqueId val="{00000001-70B7-4420-B985-837540FFF9E7}"/>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70B7-4420-B985-837540FFF9E7}"/>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8969637997632722"/>
          <c:w val="0.44993181843710334"/>
          <c:h val="0.11030362002367278"/>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Netherlands!$A$10:$A$30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Netherlands!$E$10:$E$30</c:f>
              <c:numCache>
                <c:formatCode>0.0</c:formatCode>
                <c:ptCount val="21"/>
                <c:pt idx="0">
                  <c:v>-0.35016259627870311</c:v>
                </c:pt>
                <c:pt idx="1">
                  <c:v>-0.80794499303842104</c:v>
                </c:pt>
                <c:pt idx="2">
                  <c:v>0.21365194663373058</c:v>
                </c:pt>
                <c:pt idx="3">
                  <c:v>-0.21657482998149147</c:v>
                </c:pt>
                <c:pt idx="4">
                  <c:v>1.24766999082665</c:v>
                </c:pt>
                <c:pt idx="5">
                  <c:v>1.8484171988273359</c:v>
                </c:pt>
                <c:pt idx="6">
                  <c:v>1.0330004503653549</c:v>
                </c:pt>
                <c:pt idx="7">
                  <c:v>-0.99707390216929059</c:v>
                </c:pt>
                <c:pt idx="8">
                  <c:v>-0.49551233276340689</c:v>
                </c:pt>
                <c:pt idx="9">
                  <c:v>0.57453994950073084</c:v>
                </c:pt>
                <c:pt idx="10">
                  <c:v>-0.61031365527302794</c:v>
                </c:pt>
                <c:pt idx="11">
                  <c:v>-0.60635998510476663</c:v>
                </c:pt>
                <c:pt idx="12">
                  <c:v>0.46456734173569469</c:v>
                </c:pt>
                <c:pt idx="13">
                  <c:v>0.5386262897821319</c:v>
                </c:pt>
                <c:pt idx="14">
                  <c:v>1.6097953424221341</c:v>
                </c:pt>
                <c:pt idx="15">
                  <c:v>1.5535110172191233</c:v>
                </c:pt>
                <c:pt idx="16">
                  <c:v>1.7849343612514039</c:v>
                </c:pt>
                <c:pt idx="17">
                  <c:v>1.7710263840068292</c:v>
                </c:pt>
                <c:pt idx="18">
                  <c:v>-2.9948207702363008</c:v>
                </c:pt>
                <c:pt idx="19">
                  <c:v>3.1567434754206274</c:v>
                </c:pt>
                <c:pt idx="20">
                  <c:v>2.5151563888446593</c:v>
                </c:pt>
              </c:numCache>
            </c:numRef>
          </c:val>
          <c:extLst>
            <c:ext xmlns:c16="http://schemas.microsoft.com/office/drawing/2014/chart" uri="{C3380CC4-5D6E-409C-BE32-E72D297353CC}">
              <c16:uniqueId val="{00000000-37BA-46A2-91DD-09DC7006C10E}"/>
            </c:ext>
          </c:extLst>
        </c:ser>
        <c:ser>
          <c:idx val="3"/>
          <c:order val="2"/>
          <c:tx>
            <c:v>Capital stock</c:v>
          </c:tx>
          <c:spPr>
            <a:solidFill>
              <a:srgbClr val="1E88E5"/>
            </a:solidFill>
            <a:ln>
              <a:noFill/>
            </a:ln>
            <a:effectLst/>
          </c:spPr>
          <c:invertIfNegative val="0"/>
          <c:cat>
            <c:numRef>
              <c:f>Netherlands!$A$10:$A$30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Netherlands!$F$10:$F$30</c:f>
              <c:numCache>
                <c:formatCode>0.0</c:formatCode>
                <c:ptCount val="21"/>
                <c:pt idx="0">
                  <c:v>0.56124820331809988</c:v>
                </c:pt>
                <c:pt idx="1">
                  <c:v>0.46304286359426561</c:v>
                </c:pt>
                <c:pt idx="2">
                  <c:v>0.42199440517748377</c:v>
                </c:pt>
                <c:pt idx="3">
                  <c:v>0.46283573915501192</c:v>
                </c:pt>
                <c:pt idx="4">
                  <c:v>0.5864677290583391</c:v>
                </c:pt>
                <c:pt idx="5">
                  <c:v>0.88036830987790982</c:v>
                </c:pt>
                <c:pt idx="6">
                  <c:v>0.72004439845262946</c:v>
                </c:pt>
                <c:pt idx="7">
                  <c:v>0.42639680868408769</c:v>
                </c:pt>
                <c:pt idx="8">
                  <c:v>0.23559719788129285</c:v>
                </c:pt>
                <c:pt idx="9">
                  <c:v>0.31982540148458283</c:v>
                </c:pt>
                <c:pt idx="10">
                  <c:v>0.16989337219143699</c:v>
                </c:pt>
                <c:pt idx="11">
                  <c:v>0.12186345655640318</c:v>
                </c:pt>
                <c:pt idx="12">
                  <c:v>6.2056791357553286E-2</c:v>
                </c:pt>
                <c:pt idx="13">
                  <c:v>0.53150220535428294</c:v>
                </c:pt>
                <c:pt idx="14">
                  <c:v>0.33553572888136396</c:v>
                </c:pt>
                <c:pt idx="15">
                  <c:v>0.43440180777458826</c:v>
                </c:pt>
                <c:pt idx="16">
                  <c:v>0.46711624136386592</c:v>
                </c:pt>
                <c:pt idx="17">
                  <c:v>0.59148485160134323</c:v>
                </c:pt>
                <c:pt idx="18">
                  <c:v>0.45708969756342427</c:v>
                </c:pt>
                <c:pt idx="19">
                  <c:v>0.47078752098449161</c:v>
                </c:pt>
                <c:pt idx="20">
                  <c:v>0.55041448837270701</c:v>
                </c:pt>
              </c:numCache>
            </c:numRef>
          </c:val>
          <c:extLst>
            <c:ext xmlns:c16="http://schemas.microsoft.com/office/drawing/2014/chart" uri="{C3380CC4-5D6E-409C-BE32-E72D297353CC}">
              <c16:uniqueId val="{00000001-37BA-46A2-91DD-09DC7006C10E}"/>
            </c:ext>
          </c:extLst>
        </c:ser>
        <c:ser>
          <c:idx val="0"/>
          <c:order val="3"/>
          <c:tx>
            <c:v>MFP</c:v>
          </c:tx>
          <c:spPr>
            <a:solidFill>
              <a:srgbClr val="D81B22"/>
            </a:solidFill>
            <a:ln>
              <a:noFill/>
            </a:ln>
            <a:effectLst/>
          </c:spPr>
          <c:invertIfNegative val="0"/>
          <c:cat>
            <c:numRef>
              <c:f>Netherlands!$A$10:$A$30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Netherlands!$C$10:$C$30</c:f>
              <c:numCache>
                <c:formatCode>0.0</c:formatCode>
                <c:ptCount val="21"/>
                <c:pt idx="0">
                  <c:v>7.9669394735799592E-3</c:v>
                </c:pt>
                <c:pt idx="1">
                  <c:v>0.40566595263537875</c:v>
                </c:pt>
                <c:pt idx="2">
                  <c:v>1.4468493457093778</c:v>
                </c:pt>
                <c:pt idx="3">
                  <c:v>1.8003423716711295</c:v>
                </c:pt>
                <c:pt idx="4">
                  <c:v>1.5580150942106277</c:v>
                </c:pt>
                <c:pt idx="5">
                  <c:v>1.1751826964028758</c:v>
                </c:pt>
                <c:pt idx="6">
                  <c:v>0.65932881467237925</c:v>
                </c:pt>
                <c:pt idx="7">
                  <c:v>-2.8020055309278562</c:v>
                </c:pt>
                <c:pt idx="8">
                  <c:v>1.7373026032185024</c:v>
                </c:pt>
                <c:pt idx="9">
                  <c:v>1.2043349394001663</c:v>
                </c:pt>
                <c:pt idx="10">
                  <c:v>-0.30372482403893974</c:v>
                </c:pt>
                <c:pt idx="11">
                  <c:v>0.85338947831130796</c:v>
                </c:pt>
                <c:pt idx="12">
                  <c:v>1.1134824508723136</c:v>
                </c:pt>
                <c:pt idx="13">
                  <c:v>0.84298647644966807</c:v>
                </c:pt>
                <c:pt idx="14">
                  <c:v>0.27434048649131315</c:v>
                </c:pt>
                <c:pt idx="15">
                  <c:v>0.76035688673894219</c:v>
                </c:pt>
                <c:pt idx="16">
                  <c:v>-6.4477858424012491E-2</c:v>
                </c:pt>
                <c:pt idx="17">
                  <c:v>6.7700273037485381E-5</c:v>
                </c:pt>
                <c:pt idx="18">
                  <c:v>-1.5687949423417678</c:v>
                </c:pt>
                <c:pt idx="19">
                  <c:v>2.8437574783317614</c:v>
                </c:pt>
                <c:pt idx="20">
                  <c:v>2.4584669231120291</c:v>
                </c:pt>
              </c:numCache>
            </c:numRef>
          </c:val>
          <c:extLst>
            <c:ext xmlns:c16="http://schemas.microsoft.com/office/drawing/2014/chart" uri="{C3380CC4-5D6E-409C-BE32-E72D297353CC}">
              <c16:uniqueId val="{00000002-37BA-46A2-91DD-09DC7006C10E}"/>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Netherlands!$D$10:$D$30</c:f>
              <c:numCache>
                <c:formatCode>0.0</c:formatCode>
                <c:ptCount val="21"/>
                <c:pt idx="0">
                  <c:v>0.21905254651297668</c:v>
                </c:pt>
                <c:pt idx="1">
                  <c:v>6.076382319122331E-2</c:v>
                </c:pt>
                <c:pt idx="2">
                  <c:v>2.0824956975205922</c:v>
                </c:pt>
                <c:pt idx="3">
                  <c:v>2.0466032808446499</c:v>
                </c:pt>
                <c:pt idx="4">
                  <c:v>3.392152814095617</c:v>
                </c:pt>
                <c:pt idx="5">
                  <c:v>3.9039682051081215</c:v>
                </c:pt>
                <c:pt idx="6">
                  <c:v>2.4123736634903636</c:v>
                </c:pt>
                <c:pt idx="7">
                  <c:v>-3.3726826244130592</c:v>
                </c:pt>
                <c:pt idx="8">
                  <c:v>1.4773874683363886</c:v>
                </c:pt>
                <c:pt idx="9">
                  <c:v>2.0987002903854801</c:v>
                </c:pt>
                <c:pt idx="10">
                  <c:v>-0.74414510712053072</c:v>
                </c:pt>
                <c:pt idx="11">
                  <c:v>0.36889294976294451</c:v>
                </c:pt>
                <c:pt idx="12">
                  <c:v>1.6401065839655615</c:v>
                </c:pt>
                <c:pt idx="13">
                  <c:v>1.9131149715860829</c:v>
                </c:pt>
                <c:pt idx="14">
                  <c:v>2.2196715577948112</c:v>
                </c:pt>
                <c:pt idx="15">
                  <c:v>2.7482697117326538</c:v>
                </c:pt>
                <c:pt idx="16">
                  <c:v>2.1875727441912574</c:v>
                </c:pt>
                <c:pt idx="17">
                  <c:v>2.3625789358812099</c:v>
                </c:pt>
                <c:pt idx="18">
                  <c:v>-4.1065260150146443</c:v>
                </c:pt>
                <c:pt idx="19">
                  <c:v>6.4712884747368804</c:v>
                </c:pt>
                <c:pt idx="20">
                  <c:v>5.5240378003293955</c:v>
                </c:pt>
              </c:numCache>
            </c:numRef>
          </c:val>
          <c:smooth val="0"/>
          <c:extLst>
            <c:ext xmlns:c16="http://schemas.microsoft.com/office/drawing/2014/chart" uri="{C3380CC4-5D6E-409C-BE32-E72D297353CC}">
              <c16:uniqueId val="{00000003-37BA-46A2-91DD-09DC7006C10E}"/>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Austria!$A$10:$A$30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Austria!$C$10:$C$30</c:f>
              <c:numCache>
                <c:formatCode>0.0</c:formatCode>
                <c:ptCount val="21"/>
                <c:pt idx="0">
                  <c:v>0.93183849228243398</c:v>
                </c:pt>
                <c:pt idx="1">
                  <c:v>0.49928556648815792</c:v>
                </c:pt>
                <c:pt idx="2">
                  <c:v>1.6025189632013137</c:v>
                </c:pt>
                <c:pt idx="3">
                  <c:v>1.9934850174288083</c:v>
                </c:pt>
                <c:pt idx="4">
                  <c:v>2.414094686403919</c:v>
                </c:pt>
                <c:pt idx="5">
                  <c:v>2.372465974617386</c:v>
                </c:pt>
                <c:pt idx="6">
                  <c:v>8.73270087336947E-2</c:v>
                </c:pt>
                <c:pt idx="7">
                  <c:v>-2.3397486903434879</c:v>
                </c:pt>
                <c:pt idx="8">
                  <c:v>1.3102624436975527</c:v>
                </c:pt>
                <c:pt idx="9">
                  <c:v>1.5339940597511541</c:v>
                </c:pt>
                <c:pt idx="10">
                  <c:v>0.31920955559776459</c:v>
                </c:pt>
                <c:pt idx="11">
                  <c:v>-0.22255107764145321</c:v>
                </c:pt>
                <c:pt idx="12">
                  <c:v>7.4166454428545248E-2</c:v>
                </c:pt>
                <c:pt idx="13">
                  <c:v>1.1844344284289388</c:v>
                </c:pt>
                <c:pt idx="14">
                  <c:v>0.23684019742158136</c:v>
                </c:pt>
                <c:pt idx="15">
                  <c:v>1.2315956201140197</c:v>
                </c:pt>
                <c:pt idx="16">
                  <c:v>0.8346639058362133</c:v>
                </c:pt>
                <c:pt idx="17">
                  <c:v>0.13634628880406019</c:v>
                </c:pt>
                <c:pt idx="18">
                  <c:v>-0.5532912855584049</c:v>
                </c:pt>
                <c:pt idx="19">
                  <c:v>0.4486630838958916</c:v>
                </c:pt>
                <c:pt idx="20">
                  <c:v>3.829125686906977</c:v>
                </c:pt>
              </c:numCache>
            </c:numRef>
          </c:val>
          <c:smooth val="0"/>
          <c:extLst>
            <c:ext xmlns:c16="http://schemas.microsoft.com/office/drawing/2014/chart" uri="{C3380CC4-5D6E-409C-BE32-E72D297353CC}">
              <c16:uniqueId val="{00000001-BA4E-4C09-9F33-079FC3034CAE}"/>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BA4E-4C09-9F33-079FC3034CAE}"/>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6181162015028856"/>
          <c:w val="0.39287047749559123"/>
          <c:h val="0.13818837984971138"/>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Austria!$A$10:$A$30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Austria!$E$10:$E$30</c:f>
              <c:numCache>
                <c:formatCode>0.0</c:formatCode>
                <c:ptCount val="21"/>
                <c:pt idx="0">
                  <c:v>-0.16588336366102055</c:v>
                </c:pt>
                <c:pt idx="1">
                  <c:v>0.11435068877532906</c:v>
                </c:pt>
                <c:pt idx="2">
                  <c:v>0.51254837296136579</c:v>
                </c:pt>
                <c:pt idx="3">
                  <c:v>-0.13447373262839238</c:v>
                </c:pt>
                <c:pt idx="4">
                  <c:v>0.49989726641824261</c:v>
                </c:pt>
                <c:pt idx="5">
                  <c:v>0.77656840458876264</c:v>
                </c:pt>
                <c:pt idx="6">
                  <c:v>0.94696122452526066</c:v>
                </c:pt>
                <c:pt idx="7">
                  <c:v>-2.1513549530294114</c:v>
                </c:pt>
                <c:pt idx="8">
                  <c:v>0.23212118050266331</c:v>
                </c:pt>
                <c:pt idx="9">
                  <c:v>1.2458192873997391</c:v>
                </c:pt>
                <c:pt idx="10">
                  <c:v>-0.28158495065658928</c:v>
                </c:pt>
                <c:pt idx="11">
                  <c:v>-0.30905336334560091</c:v>
                </c:pt>
                <c:pt idx="12">
                  <c:v>0.30648193424382947</c:v>
                </c:pt>
                <c:pt idx="13">
                  <c:v>-0.49591579680794434</c:v>
                </c:pt>
                <c:pt idx="14">
                  <c:v>1.381478627305627</c:v>
                </c:pt>
                <c:pt idx="15">
                  <c:v>0.64496867649221268</c:v>
                </c:pt>
                <c:pt idx="16">
                  <c:v>1.3193131960106952</c:v>
                </c:pt>
                <c:pt idx="17">
                  <c:v>1.0647669560586781</c:v>
                </c:pt>
                <c:pt idx="18">
                  <c:v>-6.170161178701937</c:v>
                </c:pt>
                <c:pt idx="19">
                  <c:v>3.2615695284590362</c:v>
                </c:pt>
                <c:pt idx="20">
                  <c:v>1.5837971636224271</c:v>
                </c:pt>
              </c:numCache>
            </c:numRef>
          </c:val>
          <c:extLst>
            <c:ext xmlns:c16="http://schemas.microsoft.com/office/drawing/2014/chart" uri="{C3380CC4-5D6E-409C-BE32-E72D297353CC}">
              <c16:uniqueId val="{00000000-891B-4DD3-9908-F0F480178AE7}"/>
            </c:ext>
          </c:extLst>
        </c:ser>
        <c:ser>
          <c:idx val="3"/>
          <c:order val="2"/>
          <c:tx>
            <c:v>Capital stock</c:v>
          </c:tx>
          <c:spPr>
            <a:solidFill>
              <a:srgbClr val="1E88E5"/>
            </a:solidFill>
            <a:ln>
              <a:noFill/>
            </a:ln>
            <a:effectLst/>
          </c:spPr>
          <c:invertIfNegative val="0"/>
          <c:cat>
            <c:numRef>
              <c:f>Austria!$A$10:$A$30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Austria!$F$10:$F$30</c:f>
              <c:numCache>
                <c:formatCode>0.0</c:formatCode>
                <c:ptCount val="21"/>
                <c:pt idx="0">
                  <c:v>0.6085154285879929</c:v>
                </c:pt>
                <c:pt idx="1">
                  <c:v>0.68856930146557649</c:v>
                </c:pt>
                <c:pt idx="2">
                  <c:v>0.58373735047109199</c:v>
                </c:pt>
                <c:pt idx="3">
                  <c:v>0.57224674898572758</c:v>
                </c:pt>
                <c:pt idx="4">
                  <c:v>0.57414138925684122</c:v>
                </c:pt>
                <c:pt idx="5">
                  <c:v>0.65051830340559125</c:v>
                </c:pt>
                <c:pt idx="6">
                  <c:v>0.64379467941748203</c:v>
                </c:pt>
                <c:pt idx="7">
                  <c:v>0.40432344893367789</c:v>
                </c:pt>
                <c:pt idx="8">
                  <c:v>0.3118390680011523</c:v>
                </c:pt>
                <c:pt idx="9">
                  <c:v>0.42420146779431755</c:v>
                </c:pt>
                <c:pt idx="10">
                  <c:v>0.41370635856820231</c:v>
                </c:pt>
                <c:pt idx="11">
                  <c:v>0.40119808381846539</c:v>
                </c:pt>
                <c:pt idx="12">
                  <c:v>0.36103206658138232</c:v>
                </c:pt>
                <c:pt idx="13">
                  <c:v>0.38236835599746349</c:v>
                </c:pt>
                <c:pt idx="14">
                  <c:v>0.4411918253889725</c:v>
                </c:pt>
                <c:pt idx="15">
                  <c:v>0.49279303557256848</c:v>
                </c:pt>
                <c:pt idx="16">
                  <c:v>0.5381644822582925</c:v>
                </c:pt>
                <c:pt idx="17">
                  <c:v>0.57055581513356757</c:v>
                </c:pt>
                <c:pt idx="18">
                  <c:v>0.37554282073817707</c:v>
                </c:pt>
                <c:pt idx="19">
                  <c:v>0.55255748533468929</c:v>
                </c:pt>
                <c:pt idx="20">
                  <c:v>0.48025044568905251</c:v>
                </c:pt>
              </c:numCache>
            </c:numRef>
          </c:val>
          <c:extLst>
            <c:ext xmlns:c16="http://schemas.microsoft.com/office/drawing/2014/chart" uri="{C3380CC4-5D6E-409C-BE32-E72D297353CC}">
              <c16:uniqueId val="{00000001-891B-4DD3-9908-F0F480178AE7}"/>
            </c:ext>
          </c:extLst>
        </c:ser>
        <c:ser>
          <c:idx val="0"/>
          <c:order val="3"/>
          <c:tx>
            <c:v>MFP</c:v>
          </c:tx>
          <c:spPr>
            <a:solidFill>
              <a:srgbClr val="D81B22"/>
            </a:solidFill>
            <a:ln>
              <a:noFill/>
            </a:ln>
            <a:effectLst/>
          </c:spPr>
          <c:invertIfNegative val="0"/>
          <c:cat>
            <c:numRef>
              <c:f>Austria!$A$10:$A$30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Austria!$C$10:$C$30</c:f>
              <c:numCache>
                <c:formatCode>0.0</c:formatCode>
                <c:ptCount val="21"/>
                <c:pt idx="0">
                  <c:v>0.93183849228243398</c:v>
                </c:pt>
                <c:pt idx="1">
                  <c:v>0.49928556648815792</c:v>
                </c:pt>
                <c:pt idx="2">
                  <c:v>1.6025189632013137</c:v>
                </c:pt>
                <c:pt idx="3">
                  <c:v>1.9934850174288083</c:v>
                </c:pt>
                <c:pt idx="4">
                  <c:v>2.414094686403919</c:v>
                </c:pt>
                <c:pt idx="5">
                  <c:v>2.372465974617386</c:v>
                </c:pt>
                <c:pt idx="6">
                  <c:v>8.73270087336947E-2</c:v>
                </c:pt>
                <c:pt idx="7">
                  <c:v>-2.3397486903434879</c:v>
                </c:pt>
                <c:pt idx="8">
                  <c:v>1.3102624436975527</c:v>
                </c:pt>
                <c:pt idx="9">
                  <c:v>1.5339940597511541</c:v>
                </c:pt>
                <c:pt idx="10">
                  <c:v>0.31920955559776459</c:v>
                </c:pt>
                <c:pt idx="11">
                  <c:v>-0.22255107764145321</c:v>
                </c:pt>
                <c:pt idx="12">
                  <c:v>7.4166454428545248E-2</c:v>
                </c:pt>
                <c:pt idx="13">
                  <c:v>1.1844344284289388</c:v>
                </c:pt>
                <c:pt idx="14">
                  <c:v>0.23684019742158136</c:v>
                </c:pt>
                <c:pt idx="15">
                  <c:v>1.2315956201140197</c:v>
                </c:pt>
                <c:pt idx="16">
                  <c:v>0.8346639058362133</c:v>
                </c:pt>
                <c:pt idx="17">
                  <c:v>0.13634628880406019</c:v>
                </c:pt>
                <c:pt idx="18">
                  <c:v>-0.5532912855584049</c:v>
                </c:pt>
                <c:pt idx="19">
                  <c:v>0.4486630838958916</c:v>
                </c:pt>
                <c:pt idx="20">
                  <c:v>3.829125686906977</c:v>
                </c:pt>
              </c:numCache>
            </c:numRef>
          </c:val>
          <c:extLst>
            <c:ext xmlns:c16="http://schemas.microsoft.com/office/drawing/2014/chart" uri="{C3380CC4-5D6E-409C-BE32-E72D297353CC}">
              <c16:uniqueId val="{00000002-891B-4DD3-9908-F0F480178AE7}"/>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Austria!$D$10:$D$30</c:f>
              <c:numCache>
                <c:formatCode>0.0</c:formatCode>
                <c:ptCount val="21"/>
                <c:pt idx="0">
                  <c:v>1.3744705572094063</c:v>
                </c:pt>
                <c:pt idx="1">
                  <c:v>1.3022055567290636</c:v>
                </c:pt>
                <c:pt idx="2">
                  <c:v>2.6988046866337712</c:v>
                </c:pt>
                <c:pt idx="3">
                  <c:v>2.4312580337861434</c:v>
                </c:pt>
                <c:pt idx="4">
                  <c:v>3.4881333420790028</c:v>
                </c:pt>
                <c:pt idx="5">
                  <c:v>3.7995526826117398</c:v>
                </c:pt>
                <c:pt idx="6">
                  <c:v>1.6780829126764374</c:v>
                </c:pt>
                <c:pt idx="7">
                  <c:v>-4.0867801944392212</c:v>
                </c:pt>
                <c:pt idx="8">
                  <c:v>1.8542226922013683</c:v>
                </c:pt>
                <c:pt idx="9">
                  <c:v>3.2040148149452108</c:v>
                </c:pt>
                <c:pt idx="10">
                  <c:v>0.45133096350937763</c:v>
                </c:pt>
                <c:pt idx="11">
                  <c:v>-0.13040635716858873</c:v>
                </c:pt>
                <c:pt idx="12">
                  <c:v>0.74168045525375703</c:v>
                </c:pt>
                <c:pt idx="13">
                  <c:v>1.0708869876184579</c:v>
                </c:pt>
                <c:pt idx="14">
                  <c:v>2.0595106501161808</c:v>
                </c:pt>
                <c:pt idx="15">
                  <c:v>2.3693573321788008</c:v>
                </c:pt>
                <c:pt idx="16">
                  <c:v>2.692141584105201</c:v>
                </c:pt>
                <c:pt idx="17">
                  <c:v>1.7716690599963059</c:v>
                </c:pt>
                <c:pt idx="18">
                  <c:v>-6.3479096435221649</c:v>
                </c:pt>
                <c:pt idx="19">
                  <c:v>4.2627900976896171</c:v>
                </c:pt>
                <c:pt idx="20">
                  <c:v>5.8931732962184569</c:v>
                </c:pt>
              </c:numCache>
            </c:numRef>
          </c:val>
          <c:smooth val="0"/>
          <c:extLst>
            <c:ext xmlns:c16="http://schemas.microsoft.com/office/drawing/2014/chart" uri="{C3380CC4-5D6E-409C-BE32-E72D297353CC}">
              <c16:uniqueId val="{00000003-891B-4DD3-9908-F0F480178AE7}"/>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Poland!$A$10:$A$30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Poland!$C$10:$C$30</c:f>
              <c:numCache>
                <c:formatCode>0.0</c:formatCode>
                <c:ptCount val="21"/>
                <c:pt idx="0">
                  <c:v>2.7915108876467576</c:v>
                </c:pt>
                <c:pt idx="1">
                  <c:v>2.5785760253061456</c:v>
                </c:pt>
                <c:pt idx="2">
                  <c:v>4.4424635276475479</c:v>
                </c:pt>
                <c:pt idx="3">
                  <c:v>1.7451883962292445</c:v>
                </c:pt>
                <c:pt idx="4">
                  <c:v>3.9076450845706212</c:v>
                </c:pt>
                <c:pt idx="5">
                  <c:v>1.4610357304090322</c:v>
                </c:pt>
                <c:pt idx="6">
                  <c:v>1.2875453014862459</c:v>
                </c:pt>
                <c:pt idx="7">
                  <c:v>1.4288509748995477</c:v>
                </c:pt>
                <c:pt idx="8">
                  <c:v>1.894308175264555</c:v>
                </c:pt>
                <c:pt idx="9">
                  <c:v>2.496095589295158</c:v>
                </c:pt>
                <c:pt idx="10">
                  <c:v>6.0107228419264525E-2</c:v>
                </c:pt>
                <c:pt idx="11">
                  <c:v>-1.4331166263616146</c:v>
                </c:pt>
                <c:pt idx="12">
                  <c:v>0.37336684550190524</c:v>
                </c:pt>
                <c:pt idx="13">
                  <c:v>2.2709529156170145</c:v>
                </c:pt>
                <c:pt idx="14">
                  <c:v>1.0644511293876375</c:v>
                </c:pt>
                <c:pt idx="15">
                  <c:v>3.702596509476483</c:v>
                </c:pt>
                <c:pt idx="16">
                  <c:v>5.2358191999633519</c:v>
                </c:pt>
                <c:pt idx="17">
                  <c:v>1.4079338982278988</c:v>
                </c:pt>
                <c:pt idx="18">
                  <c:v>-2.494204222101593</c:v>
                </c:pt>
                <c:pt idx="19">
                  <c:v>2.0972682526379263</c:v>
                </c:pt>
                <c:pt idx="20">
                  <c:v>3.8503573360909655</c:v>
                </c:pt>
              </c:numCache>
            </c:numRef>
          </c:val>
          <c:smooth val="0"/>
          <c:extLst>
            <c:ext xmlns:c16="http://schemas.microsoft.com/office/drawing/2014/chart" uri="{C3380CC4-5D6E-409C-BE32-E72D297353CC}">
              <c16:uniqueId val="{00000001-1373-49BC-BBC5-69F4EC2FE91C}"/>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1373-49BC-BBC5-69F4EC2FE91C}"/>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6645908012129502"/>
          <c:w val="0.38003167578375102"/>
          <c:h val="0.13354091987870495"/>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Poland!$A$10:$A$30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Poland!$E$10:$E$30</c:f>
              <c:numCache>
                <c:formatCode>0.0</c:formatCode>
                <c:ptCount val="21"/>
                <c:pt idx="0">
                  <c:v>-2.1419317640493336</c:v>
                </c:pt>
                <c:pt idx="1">
                  <c:v>-0.56096372347781942</c:v>
                </c:pt>
                <c:pt idx="2">
                  <c:v>0.681369176747598</c:v>
                </c:pt>
                <c:pt idx="3">
                  <c:v>1.0720254630714048</c:v>
                </c:pt>
                <c:pt idx="4">
                  <c:v>1.8113216713886084</c:v>
                </c:pt>
                <c:pt idx="5">
                  <c:v>2.3805446133587567</c:v>
                </c:pt>
                <c:pt idx="6">
                  <c:v>1.9049893239908511</c:v>
                </c:pt>
                <c:pt idx="7">
                  <c:v>-0.22242836122200096</c:v>
                </c:pt>
                <c:pt idx="8">
                  <c:v>-1.6524557744200787</c:v>
                </c:pt>
                <c:pt idx="9">
                  <c:v>0.17450957126266065</c:v>
                </c:pt>
                <c:pt idx="10">
                  <c:v>-7.8177267361880173E-2</c:v>
                </c:pt>
                <c:pt idx="11">
                  <c:v>-0.13879121469229747</c:v>
                </c:pt>
                <c:pt idx="12">
                  <c:v>1.1275262824266379</c:v>
                </c:pt>
                <c:pt idx="13">
                  <c:v>1.0316100534396944</c:v>
                </c:pt>
                <c:pt idx="14">
                  <c:v>0.5115664453739881</c:v>
                </c:pt>
                <c:pt idx="15">
                  <c:v>0.13673355915446322</c:v>
                </c:pt>
                <c:pt idx="16">
                  <c:v>-0.45441248826022484</c:v>
                </c:pt>
                <c:pt idx="17">
                  <c:v>1.6352273654849656</c:v>
                </c:pt>
                <c:pt idx="18">
                  <c:v>-0.44143457501067357</c:v>
                </c:pt>
                <c:pt idx="19">
                  <c:v>3.1696331497869314</c:v>
                </c:pt>
                <c:pt idx="20">
                  <c:v>0.32940341870474843</c:v>
                </c:pt>
              </c:numCache>
            </c:numRef>
          </c:val>
          <c:extLst>
            <c:ext xmlns:c16="http://schemas.microsoft.com/office/drawing/2014/chart" uri="{C3380CC4-5D6E-409C-BE32-E72D297353CC}">
              <c16:uniqueId val="{00000000-F568-48EF-A77E-8F31D7AC0F4D}"/>
            </c:ext>
          </c:extLst>
        </c:ser>
        <c:ser>
          <c:idx val="3"/>
          <c:order val="2"/>
          <c:tx>
            <c:v>Capital stock</c:v>
          </c:tx>
          <c:spPr>
            <a:solidFill>
              <a:srgbClr val="1E88E5"/>
            </a:solidFill>
            <a:ln>
              <a:noFill/>
            </a:ln>
            <a:effectLst/>
          </c:spPr>
          <c:invertIfNegative val="0"/>
          <c:cat>
            <c:numRef>
              <c:f>Poland!$A$10:$A$30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Poland!$F$10:$F$30</c:f>
              <c:numCache>
                <c:formatCode>0.0</c:formatCode>
                <c:ptCount val="21"/>
                <c:pt idx="0">
                  <c:v>1.1500850338622</c:v>
                </c:pt>
                <c:pt idx="1">
                  <c:v>1.2703434094742108</c:v>
                </c:pt>
                <c:pt idx="2">
                  <c:v>0.15744900156554853</c:v>
                </c:pt>
                <c:pt idx="3">
                  <c:v>0.25171562726939972</c:v>
                </c:pt>
                <c:pt idx="4">
                  <c:v>0.27638706949137037</c:v>
                </c:pt>
                <c:pt idx="5">
                  <c:v>2.7362167088106939</c:v>
                </c:pt>
                <c:pt idx="6">
                  <c:v>0.87675324597434645</c:v>
                </c:pt>
                <c:pt idx="7">
                  <c:v>1.6394383404982584</c:v>
                </c:pt>
                <c:pt idx="8">
                  <c:v>2.8254865113559364</c:v>
                </c:pt>
                <c:pt idx="9">
                  <c:v>2.3944104681788057</c:v>
                </c:pt>
                <c:pt idx="10">
                  <c:v>1.3511290296747211</c:v>
                </c:pt>
                <c:pt idx="11">
                  <c:v>2.177279725790795</c:v>
                </c:pt>
                <c:pt idx="12">
                  <c:v>2.2576274464275401</c:v>
                </c:pt>
                <c:pt idx="13">
                  <c:v>1.1637726730750162</c:v>
                </c:pt>
                <c:pt idx="14">
                  <c:v>1.2805046632441619</c:v>
                </c:pt>
                <c:pt idx="15">
                  <c:v>1.0473442442149159</c:v>
                </c:pt>
                <c:pt idx="16">
                  <c:v>1.2734296307840083</c:v>
                </c:pt>
                <c:pt idx="17">
                  <c:v>1.3397317676133762</c:v>
                </c:pt>
                <c:pt idx="18">
                  <c:v>0.85383375191189748</c:v>
                </c:pt>
                <c:pt idx="19">
                  <c:v>1.1519327164659352</c:v>
                </c:pt>
                <c:pt idx="20">
                  <c:v>1.1325580868508658</c:v>
                </c:pt>
              </c:numCache>
            </c:numRef>
          </c:val>
          <c:extLst>
            <c:ext xmlns:c16="http://schemas.microsoft.com/office/drawing/2014/chart" uri="{C3380CC4-5D6E-409C-BE32-E72D297353CC}">
              <c16:uniqueId val="{00000001-F568-48EF-A77E-8F31D7AC0F4D}"/>
            </c:ext>
          </c:extLst>
        </c:ser>
        <c:ser>
          <c:idx val="0"/>
          <c:order val="3"/>
          <c:tx>
            <c:v>MFP</c:v>
          </c:tx>
          <c:spPr>
            <a:solidFill>
              <a:srgbClr val="D81B22"/>
            </a:solidFill>
            <a:ln>
              <a:noFill/>
            </a:ln>
            <a:effectLst/>
          </c:spPr>
          <c:invertIfNegative val="0"/>
          <c:cat>
            <c:numRef>
              <c:f>Poland!$A$10:$A$30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Poland!$C$10:$C$30</c:f>
              <c:numCache>
                <c:formatCode>0.0</c:formatCode>
                <c:ptCount val="21"/>
                <c:pt idx="0">
                  <c:v>2.7915108876467576</c:v>
                </c:pt>
                <c:pt idx="1">
                  <c:v>2.5785760253061456</c:v>
                </c:pt>
                <c:pt idx="2">
                  <c:v>4.4424635276475479</c:v>
                </c:pt>
                <c:pt idx="3">
                  <c:v>1.7451883962292445</c:v>
                </c:pt>
                <c:pt idx="4">
                  <c:v>3.9076450845706212</c:v>
                </c:pt>
                <c:pt idx="5">
                  <c:v>1.4610357304090322</c:v>
                </c:pt>
                <c:pt idx="6">
                  <c:v>1.2875453014862459</c:v>
                </c:pt>
                <c:pt idx="7">
                  <c:v>1.4288509748995477</c:v>
                </c:pt>
                <c:pt idx="8">
                  <c:v>1.894308175264555</c:v>
                </c:pt>
                <c:pt idx="9">
                  <c:v>2.496095589295158</c:v>
                </c:pt>
                <c:pt idx="10">
                  <c:v>6.0107228419264525E-2</c:v>
                </c:pt>
                <c:pt idx="11">
                  <c:v>-1.4331166263616146</c:v>
                </c:pt>
                <c:pt idx="12">
                  <c:v>0.37336684550190524</c:v>
                </c:pt>
                <c:pt idx="13">
                  <c:v>2.2709529156170145</c:v>
                </c:pt>
                <c:pt idx="14">
                  <c:v>1.0644511293876375</c:v>
                </c:pt>
                <c:pt idx="15">
                  <c:v>3.702596509476483</c:v>
                </c:pt>
                <c:pt idx="16">
                  <c:v>5.2358191999633519</c:v>
                </c:pt>
                <c:pt idx="17">
                  <c:v>1.4079338982278988</c:v>
                </c:pt>
                <c:pt idx="18">
                  <c:v>-2.494204222101593</c:v>
                </c:pt>
                <c:pt idx="19">
                  <c:v>2.0972682526379263</c:v>
                </c:pt>
                <c:pt idx="20">
                  <c:v>3.8503573360909655</c:v>
                </c:pt>
              </c:numCache>
            </c:numRef>
          </c:val>
          <c:extLst>
            <c:ext xmlns:c16="http://schemas.microsoft.com/office/drawing/2014/chart" uri="{C3380CC4-5D6E-409C-BE32-E72D297353CC}">
              <c16:uniqueId val="{00000002-F568-48EF-A77E-8F31D7AC0F4D}"/>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Poland!$D$10:$D$30</c:f>
              <c:numCache>
                <c:formatCode>0.0</c:formatCode>
                <c:ptCount val="21"/>
                <c:pt idx="0">
                  <c:v>1.7996641574596239</c:v>
                </c:pt>
                <c:pt idx="1">
                  <c:v>3.2879557113025371</c:v>
                </c:pt>
                <c:pt idx="2">
                  <c:v>5.2812817059606942</c:v>
                </c:pt>
                <c:pt idx="3">
                  <c:v>3.0689294865700489</c:v>
                </c:pt>
                <c:pt idx="4">
                  <c:v>5.9953538254506</c:v>
                </c:pt>
                <c:pt idx="5">
                  <c:v>6.5777970525784824</c:v>
                </c:pt>
                <c:pt idx="6">
                  <c:v>4.0692878714514436</c:v>
                </c:pt>
                <c:pt idx="7">
                  <c:v>2.8458609541758051</c:v>
                </c:pt>
                <c:pt idx="8">
                  <c:v>3.0673389122004124</c:v>
                </c:pt>
                <c:pt idx="9">
                  <c:v>5.0650156287366244</c:v>
                </c:pt>
                <c:pt idx="10">
                  <c:v>1.3330589907321055</c:v>
                </c:pt>
                <c:pt idx="11">
                  <c:v>0.60537188473688275</c:v>
                </c:pt>
                <c:pt idx="12">
                  <c:v>3.7585205743560834</c:v>
                </c:pt>
                <c:pt idx="13">
                  <c:v>4.4663356421317246</c:v>
                </c:pt>
                <c:pt idx="14">
                  <c:v>2.8565222380057875</c:v>
                </c:pt>
                <c:pt idx="15">
                  <c:v>4.8866743128458623</c:v>
                </c:pt>
                <c:pt idx="16">
                  <c:v>6.0548363424871354</c:v>
                </c:pt>
                <c:pt idx="17">
                  <c:v>4.3828930313262404</c:v>
                </c:pt>
                <c:pt idx="18">
                  <c:v>-2.0818050452003689</c:v>
                </c:pt>
                <c:pt idx="19">
                  <c:v>6.4188341188907927</c:v>
                </c:pt>
                <c:pt idx="20">
                  <c:v>5.3123188416465794</c:v>
                </c:pt>
              </c:numCache>
            </c:numRef>
          </c:val>
          <c:smooth val="0"/>
          <c:extLst>
            <c:ext xmlns:c16="http://schemas.microsoft.com/office/drawing/2014/chart" uri="{C3380CC4-5D6E-409C-BE32-E72D297353CC}">
              <c16:uniqueId val="{00000003-F568-48EF-A77E-8F31D7AC0F4D}"/>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Portugal!$A$10:$A$30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Portugal!$C$10:$C$30</c:f>
              <c:numCache>
                <c:formatCode>0.0</c:formatCode>
                <c:ptCount val="21"/>
                <c:pt idx="0">
                  <c:v>-0.31064044676017999</c:v>
                </c:pt>
                <c:pt idx="1">
                  <c:v>-0.57609611527919546</c:v>
                </c:pt>
                <c:pt idx="2">
                  <c:v>1.2689009241450044</c:v>
                </c:pt>
                <c:pt idx="3">
                  <c:v>0.13863057429030878</c:v>
                </c:pt>
                <c:pt idx="4">
                  <c:v>1.2517364108086659</c:v>
                </c:pt>
                <c:pt idx="5">
                  <c:v>1.6264950186832015</c:v>
                </c:pt>
                <c:pt idx="6">
                  <c:v>0.36000414678725018</c:v>
                </c:pt>
                <c:pt idx="7">
                  <c:v>-1.0886991267255373</c:v>
                </c:pt>
                <c:pt idx="8">
                  <c:v>2.1728011034959209</c:v>
                </c:pt>
                <c:pt idx="9">
                  <c:v>1.293615982309505</c:v>
                </c:pt>
                <c:pt idx="10">
                  <c:v>0.63914903526905253</c:v>
                </c:pt>
                <c:pt idx="11">
                  <c:v>1.4483100939211981</c:v>
                </c:pt>
                <c:pt idx="12">
                  <c:v>-0.30517541004529147</c:v>
                </c:pt>
                <c:pt idx="13">
                  <c:v>0.73941106365990206</c:v>
                </c:pt>
                <c:pt idx="14">
                  <c:v>0.93472280970830013</c:v>
                </c:pt>
                <c:pt idx="15">
                  <c:v>1.7761962038974888</c:v>
                </c:pt>
                <c:pt idx="16">
                  <c:v>1.1574732925301172</c:v>
                </c:pt>
                <c:pt idx="17">
                  <c:v>2.0450479178789158</c:v>
                </c:pt>
                <c:pt idx="18">
                  <c:v>-2.4167454679188158</c:v>
                </c:pt>
                <c:pt idx="19">
                  <c:v>2.3254456907908567</c:v>
                </c:pt>
                <c:pt idx="20">
                  <c:v>2.8406770887624773</c:v>
                </c:pt>
              </c:numCache>
            </c:numRef>
          </c:val>
          <c:smooth val="0"/>
          <c:extLst>
            <c:ext xmlns:c16="http://schemas.microsoft.com/office/drawing/2014/chart" uri="{C3380CC4-5D6E-409C-BE32-E72D297353CC}">
              <c16:uniqueId val="{00000001-1727-4D54-BD1F-895BC4E80E14}"/>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1727-4D54-BD1F-895BC4E80E14}"/>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91758113980236589"/>
          <c:w val="0.41712154739573382"/>
          <c:h val="8.2418860197634156E-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90916811403"/>
          <c:y val="1.6538261479005206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Portugal!$A$10:$A$30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Portugal!$E$10:$E$30</c:f>
              <c:numCache>
                <c:formatCode>0.0</c:formatCode>
                <c:ptCount val="21"/>
                <c:pt idx="0">
                  <c:v>1.4201404008713153E-2</c:v>
                </c:pt>
                <c:pt idx="1">
                  <c:v>-0.92460115282352529</c:v>
                </c:pt>
                <c:pt idx="2">
                  <c:v>-0.26235678119162176</c:v>
                </c:pt>
                <c:pt idx="3">
                  <c:v>-0.23873276890077158</c:v>
                </c:pt>
                <c:pt idx="4">
                  <c:v>-0.15505566594556905</c:v>
                </c:pt>
                <c:pt idx="5">
                  <c:v>0.60674095112458148</c:v>
                </c:pt>
                <c:pt idx="6">
                  <c:v>-0.21347673066330231</c:v>
                </c:pt>
                <c:pt idx="7">
                  <c:v>-1.7930849517653444</c:v>
                </c:pt>
                <c:pt idx="8">
                  <c:v>-0.8347946800086502</c:v>
                </c:pt>
                <c:pt idx="9">
                  <c:v>-2.166221580162599</c:v>
                </c:pt>
                <c:pt idx="10">
                  <c:v>-3.3641726366324973</c:v>
                </c:pt>
                <c:pt idx="11">
                  <c:v>-1.4378117315860954</c:v>
                </c:pt>
                <c:pt idx="12">
                  <c:v>1.1936658743753732</c:v>
                </c:pt>
                <c:pt idx="13">
                  <c:v>1.0984255746216269</c:v>
                </c:pt>
                <c:pt idx="14">
                  <c:v>1.2275676677553982</c:v>
                </c:pt>
                <c:pt idx="15">
                  <c:v>1.5755623838966855</c:v>
                </c:pt>
                <c:pt idx="16">
                  <c:v>1.7685769283978494</c:v>
                </c:pt>
                <c:pt idx="17">
                  <c:v>0.66060167402692116</c:v>
                </c:pt>
                <c:pt idx="18">
                  <c:v>-5.3884936532461083</c:v>
                </c:pt>
                <c:pt idx="19">
                  <c:v>2.8274398023855345</c:v>
                </c:pt>
                <c:pt idx="20">
                  <c:v>3.8064173085156905</c:v>
                </c:pt>
              </c:numCache>
            </c:numRef>
          </c:val>
          <c:extLst>
            <c:ext xmlns:c16="http://schemas.microsoft.com/office/drawing/2014/chart" uri="{C3380CC4-5D6E-409C-BE32-E72D297353CC}">
              <c16:uniqueId val="{00000000-3A5B-4D53-BE51-8EC6E7F1FD58}"/>
            </c:ext>
          </c:extLst>
        </c:ser>
        <c:ser>
          <c:idx val="3"/>
          <c:order val="2"/>
          <c:tx>
            <c:v>Capital stock</c:v>
          </c:tx>
          <c:spPr>
            <a:solidFill>
              <a:srgbClr val="1E88E5"/>
            </a:solidFill>
            <a:ln>
              <a:noFill/>
            </a:ln>
            <a:effectLst/>
          </c:spPr>
          <c:invertIfNegative val="0"/>
          <c:cat>
            <c:numRef>
              <c:f>Portugal!$A$10:$A$30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Portugal!$F$10:$F$30</c:f>
              <c:numCache>
                <c:formatCode>0.0</c:formatCode>
                <c:ptCount val="21"/>
                <c:pt idx="0">
                  <c:v>0.96056034074755658</c:v>
                </c:pt>
                <c:pt idx="1">
                  <c:v>0.66836252917109251</c:v>
                </c:pt>
                <c:pt idx="2">
                  <c:v>0.63600266185925625</c:v>
                </c:pt>
                <c:pt idx="3">
                  <c:v>0.58638737679329567</c:v>
                </c:pt>
                <c:pt idx="4">
                  <c:v>0.51954749026824831</c:v>
                </c:pt>
                <c:pt idx="5">
                  <c:v>0.55245363123185942</c:v>
                </c:pt>
                <c:pt idx="6">
                  <c:v>0.49587886669289521</c:v>
                </c:pt>
                <c:pt idx="7">
                  <c:v>0.23954187292560011</c:v>
                </c:pt>
                <c:pt idx="8">
                  <c:v>0.19726023061612494</c:v>
                </c:pt>
                <c:pt idx="9">
                  <c:v>-0.14621782813830572</c:v>
                </c:pt>
                <c:pt idx="10">
                  <c:v>-0.56319192844002841</c:v>
                </c:pt>
                <c:pt idx="11">
                  <c:v>-0.64876347139496848</c:v>
                </c:pt>
                <c:pt idx="12">
                  <c:v>-0.61112777722129752</c:v>
                </c:pt>
                <c:pt idx="13">
                  <c:v>-0.49080296756199604</c:v>
                </c:pt>
                <c:pt idx="14">
                  <c:v>-0.44989887944619411</c:v>
                </c:pt>
                <c:pt idx="15">
                  <c:v>-0.20698294878374124</c:v>
                </c:pt>
                <c:pt idx="16">
                  <c:v>-0.1048320624283833</c:v>
                </c:pt>
                <c:pt idx="17">
                  <c:v>-2.8341550621182945E-2</c:v>
                </c:pt>
                <c:pt idx="18">
                  <c:v>-0.1475067475857085</c:v>
                </c:pt>
                <c:pt idx="19">
                  <c:v>6.7199407886457197E-4</c:v>
                </c:pt>
                <c:pt idx="20">
                  <c:v>3.8362700711565299E-2</c:v>
                </c:pt>
              </c:numCache>
            </c:numRef>
          </c:val>
          <c:extLst>
            <c:ext xmlns:c16="http://schemas.microsoft.com/office/drawing/2014/chart" uri="{C3380CC4-5D6E-409C-BE32-E72D297353CC}">
              <c16:uniqueId val="{00000001-3A5B-4D53-BE51-8EC6E7F1FD58}"/>
            </c:ext>
          </c:extLst>
        </c:ser>
        <c:ser>
          <c:idx val="0"/>
          <c:order val="3"/>
          <c:tx>
            <c:v>MFP</c:v>
          </c:tx>
          <c:spPr>
            <a:solidFill>
              <a:srgbClr val="D81B22"/>
            </a:solidFill>
            <a:ln>
              <a:noFill/>
            </a:ln>
            <a:effectLst/>
          </c:spPr>
          <c:invertIfNegative val="0"/>
          <c:cat>
            <c:numRef>
              <c:f>Portugal!$A$10:$A$30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Portugal!$C$10:$C$30</c:f>
              <c:numCache>
                <c:formatCode>0.0</c:formatCode>
                <c:ptCount val="21"/>
                <c:pt idx="0">
                  <c:v>-0.31064044676017999</c:v>
                </c:pt>
                <c:pt idx="1">
                  <c:v>-0.57609611527919546</c:v>
                </c:pt>
                <c:pt idx="2">
                  <c:v>1.2689009241450044</c:v>
                </c:pt>
                <c:pt idx="3">
                  <c:v>0.13863057429030878</c:v>
                </c:pt>
                <c:pt idx="4">
                  <c:v>1.2517364108086659</c:v>
                </c:pt>
                <c:pt idx="5">
                  <c:v>1.6264950186832015</c:v>
                </c:pt>
                <c:pt idx="6">
                  <c:v>0.36000414678725018</c:v>
                </c:pt>
                <c:pt idx="7">
                  <c:v>-1.0886991267255373</c:v>
                </c:pt>
                <c:pt idx="8">
                  <c:v>2.1728011034959209</c:v>
                </c:pt>
                <c:pt idx="9">
                  <c:v>1.293615982309505</c:v>
                </c:pt>
                <c:pt idx="10">
                  <c:v>0.63914903526905253</c:v>
                </c:pt>
                <c:pt idx="11">
                  <c:v>1.4483100939211981</c:v>
                </c:pt>
                <c:pt idx="12">
                  <c:v>-0.30517541004529147</c:v>
                </c:pt>
                <c:pt idx="13">
                  <c:v>0.73941106365990206</c:v>
                </c:pt>
                <c:pt idx="14">
                  <c:v>0.93472280970830013</c:v>
                </c:pt>
                <c:pt idx="15">
                  <c:v>1.7761962038974888</c:v>
                </c:pt>
                <c:pt idx="16">
                  <c:v>1.1574732925301172</c:v>
                </c:pt>
                <c:pt idx="17">
                  <c:v>2.0450479178789158</c:v>
                </c:pt>
                <c:pt idx="18">
                  <c:v>-2.4167454679188158</c:v>
                </c:pt>
                <c:pt idx="19">
                  <c:v>2.3254456907908567</c:v>
                </c:pt>
                <c:pt idx="20">
                  <c:v>2.8406770887624773</c:v>
                </c:pt>
              </c:numCache>
            </c:numRef>
          </c:val>
          <c:extLst>
            <c:ext xmlns:c16="http://schemas.microsoft.com/office/drawing/2014/chart" uri="{C3380CC4-5D6E-409C-BE32-E72D297353CC}">
              <c16:uniqueId val="{00000002-3A5B-4D53-BE51-8EC6E7F1FD58}"/>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Portugal!$D$10:$D$30</c:f>
              <c:numCache>
                <c:formatCode>0.0</c:formatCode>
                <c:ptCount val="21"/>
                <c:pt idx="0">
                  <c:v>0.66412129799608977</c:v>
                </c:pt>
                <c:pt idx="1">
                  <c:v>-0.83233473893162824</c:v>
                </c:pt>
                <c:pt idx="2">
                  <c:v>1.642546804812639</c:v>
                </c:pt>
                <c:pt idx="3">
                  <c:v>0.4862851821828329</c:v>
                </c:pt>
                <c:pt idx="4">
                  <c:v>1.6162282351313451</c:v>
                </c:pt>
                <c:pt idx="5">
                  <c:v>2.7856896010396426</c:v>
                </c:pt>
                <c:pt idx="6">
                  <c:v>0.64240628281684309</c:v>
                </c:pt>
                <c:pt idx="7">
                  <c:v>-2.6422422055652817</c:v>
                </c:pt>
                <c:pt idx="8">
                  <c:v>1.5352666541033955</c:v>
                </c:pt>
                <c:pt idx="9">
                  <c:v>-1.0188234259913997</c:v>
                </c:pt>
                <c:pt idx="10">
                  <c:v>-3.2882155298034732</c:v>
                </c:pt>
                <c:pt idx="11">
                  <c:v>-0.63826510905986567</c:v>
                </c:pt>
                <c:pt idx="12">
                  <c:v>0.2773626871087842</c:v>
                </c:pt>
                <c:pt idx="13">
                  <c:v>1.3470336707195329</c:v>
                </c:pt>
                <c:pt idx="14">
                  <c:v>1.7123915980175042</c:v>
                </c:pt>
                <c:pt idx="15">
                  <c:v>3.1447756390104331</c:v>
                </c:pt>
                <c:pt idx="16">
                  <c:v>2.8212181584995832</c:v>
                </c:pt>
                <c:pt idx="17">
                  <c:v>2.6773080412846539</c:v>
                </c:pt>
                <c:pt idx="18">
                  <c:v>-7.9527458687506325</c:v>
                </c:pt>
                <c:pt idx="19">
                  <c:v>5.1535574872552559</c:v>
                </c:pt>
                <c:pt idx="20">
                  <c:v>6.6854570979897332</c:v>
                </c:pt>
              </c:numCache>
            </c:numRef>
          </c:val>
          <c:smooth val="0"/>
          <c:extLst>
            <c:ext xmlns:c16="http://schemas.microsoft.com/office/drawing/2014/chart" uri="{C3380CC4-5D6E-409C-BE32-E72D297353CC}">
              <c16:uniqueId val="{00000003-3A5B-4D53-BE51-8EC6E7F1FD58}"/>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Romania!$A$10:$A$30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Romania!$C$10:$C$30</c:f>
              <c:numCache>
                <c:formatCode>0.0</c:formatCode>
                <c:ptCount val="21"/>
                <c:pt idx="0">
                  <c:v>14.797524060264646</c:v>
                </c:pt>
                <c:pt idx="1">
                  <c:v>6.0861212726610656</c:v>
                </c:pt>
                <c:pt idx="2">
                  <c:v>14.585984354664038</c:v>
                </c:pt>
                <c:pt idx="3">
                  <c:v>2.9991820000177913</c:v>
                </c:pt>
                <c:pt idx="4">
                  <c:v>7.3313686399815436</c:v>
                </c:pt>
                <c:pt idx="5">
                  <c:v>3.3253857799740061</c:v>
                </c:pt>
                <c:pt idx="6">
                  <c:v>8.6839771383903184</c:v>
                </c:pt>
                <c:pt idx="7">
                  <c:v>-2.9413184843197886</c:v>
                </c:pt>
                <c:pt idx="8">
                  <c:v>-4.552063913529337</c:v>
                </c:pt>
                <c:pt idx="9">
                  <c:v>1.775634222703264</c:v>
                </c:pt>
                <c:pt idx="10">
                  <c:v>3.5313819512650104</c:v>
                </c:pt>
                <c:pt idx="11">
                  <c:v>0.84363935918103605</c:v>
                </c:pt>
                <c:pt idx="12">
                  <c:v>2.0795276101538129</c:v>
                </c:pt>
                <c:pt idx="13">
                  <c:v>0.89052657032449822</c:v>
                </c:pt>
                <c:pt idx="14">
                  <c:v>-0.28203553301905337</c:v>
                </c:pt>
                <c:pt idx="15">
                  <c:v>6.1131094141137368</c:v>
                </c:pt>
                <c:pt idx="16">
                  <c:v>4.1906105187139566</c:v>
                </c:pt>
                <c:pt idx="17">
                  <c:v>1.6348101447071586</c:v>
                </c:pt>
                <c:pt idx="18">
                  <c:v>-2.5201120020049697</c:v>
                </c:pt>
                <c:pt idx="19">
                  <c:v>0.61360467931659413</c:v>
                </c:pt>
                <c:pt idx="20">
                  <c:v>1.6656227162012882</c:v>
                </c:pt>
              </c:numCache>
            </c:numRef>
          </c:val>
          <c:smooth val="0"/>
          <c:extLst>
            <c:ext xmlns:c16="http://schemas.microsoft.com/office/drawing/2014/chart" uri="{C3380CC4-5D6E-409C-BE32-E72D297353CC}">
              <c16:uniqueId val="{00000001-CE9B-49CF-AAAF-D9B8D9828D91}"/>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CE9B-49CF-AAAF-D9B8D9828D91}"/>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8272519001981753"/>
          <c:w val="0.38288474283082663"/>
          <c:h val="0.11727480998018243"/>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Romania!$A$10:$A$30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Romania!$E$10:$E$30</c:f>
              <c:numCache>
                <c:formatCode>0.0</c:formatCode>
                <c:ptCount val="21"/>
                <c:pt idx="0">
                  <c:v>-7.2135971641791761</c:v>
                </c:pt>
                <c:pt idx="1">
                  <c:v>-1.0960355380190276</c:v>
                </c:pt>
                <c:pt idx="2">
                  <c:v>-0.87841532389564458</c:v>
                </c:pt>
                <c:pt idx="3">
                  <c:v>-0.50602622870335257</c:v>
                </c:pt>
                <c:pt idx="4">
                  <c:v>-6.7190141441334034E-2</c:v>
                </c:pt>
                <c:pt idx="5">
                  <c:v>0.95315465440101299</c:v>
                </c:pt>
                <c:pt idx="6">
                  <c:v>-0.90167148124795704</c:v>
                </c:pt>
                <c:pt idx="7">
                  <c:v>-2.6394841705042529</c:v>
                </c:pt>
                <c:pt idx="8">
                  <c:v>-1.0253234607765414</c:v>
                </c:pt>
                <c:pt idx="9">
                  <c:v>-0.9747750868041658</c:v>
                </c:pt>
                <c:pt idx="10">
                  <c:v>-0.31225404215208274</c:v>
                </c:pt>
                <c:pt idx="11">
                  <c:v>-0.57786924255438321</c:v>
                </c:pt>
                <c:pt idx="12">
                  <c:v>-7.9839399737549194E-3</c:v>
                </c:pt>
                <c:pt idx="13">
                  <c:v>-0.81946918551852999</c:v>
                </c:pt>
                <c:pt idx="14">
                  <c:v>8.2887022306340874E-2</c:v>
                </c:pt>
                <c:pt idx="15">
                  <c:v>0.55987631364685464</c:v>
                </c:pt>
                <c:pt idx="16">
                  <c:v>8.1806272603996893E-2</c:v>
                </c:pt>
                <c:pt idx="17">
                  <c:v>0.54244533255792993</c:v>
                </c:pt>
                <c:pt idx="18">
                  <c:v>-2.5211909779742987</c:v>
                </c:pt>
                <c:pt idx="19">
                  <c:v>2.397548135940494</c:v>
                </c:pt>
                <c:pt idx="20">
                  <c:v>-0.21592426376581234</c:v>
                </c:pt>
              </c:numCache>
            </c:numRef>
          </c:val>
          <c:extLst>
            <c:ext xmlns:c16="http://schemas.microsoft.com/office/drawing/2014/chart" uri="{C3380CC4-5D6E-409C-BE32-E72D297353CC}">
              <c16:uniqueId val="{00000000-2F5D-4C22-9E95-A8274C61E0FA}"/>
            </c:ext>
          </c:extLst>
        </c:ser>
        <c:ser>
          <c:idx val="3"/>
          <c:order val="2"/>
          <c:tx>
            <c:v>Capital stock</c:v>
          </c:tx>
          <c:spPr>
            <a:solidFill>
              <a:srgbClr val="1E88E5"/>
            </a:solidFill>
            <a:ln>
              <a:noFill/>
            </a:ln>
            <a:effectLst/>
          </c:spPr>
          <c:invertIfNegative val="0"/>
          <c:cat>
            <c:numRef>
              <c:f>Romania!$A$10:$A$30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Romania!$F$10:$F$30</c:f>
              <c:numCache>
                <c:formatCode>0.0</c:formatCode>
                <c:ptCount val="21"/>
                <c:pt idx="0">
                  <c:v>-2.6517667095185442</c:v>
                </c:pt>
                <c:pt idx="1">
                  <c:v>-2.7366046884018917</c:v>
                </c:pt>
                <c:pt idx="2">
                  <c:v>-3.6242541279896754</c:v>
                </c:pt>
                <c:pt idx="3">
                  <c:v>1.4460528658715812</c:v>
                </c:pt>
                <c:pt idx="4">
                  <c:v>0.88903499965019361</c:v>
                </c:pt>
                <c:pt idx="5">
                  <c:v>2.505773429314365</c:v>
                </c:pt>
                <c:pt idx="6">
                  <c:v>1.2858053854891611</c:v>
                </c:pt>
                <c:pt idx="7">
                  <c:v>1.0374157751006206</c:v>
                </c:pt>
                <c:pt idx="8">
                  <c:v>0.25923605741093064</c:v>
                </c:pt>
                <c:pt idx="9">
                  <c:v>3.3989366883012382</c:v>
                </c:pt>
                <c:pt idx="10">
                  <c:v>-1.2374709997753681</c:v>
                </c:pt>
                <c:pt idx="11">
                  <c:v>0.1376407313538926</c:v>
                </c:pt>
                <c:pt idx="12">
                  <c:v>2.010974995849542</c:v>
                </c:pt>
                <c:pt idx="13">
                  <c:v>2.5654494230265712</c:v>
                </c:pt>
                <c:pt idx="14">
                  <c:v>2.9751501231054882</c:v>
                </c:pt>
                <c:pt idx="15">
                  <c:v>1.3967931567655889</c:v>
                </c:pt>
                <c:pt idx="16">
                  <c:v>1.3136448910107159</c:v>
                </c:pt>
                <c:pt idx="17">
                  <c:v>1.5554144056939059</c:v>
                </c:pt>
                <c:pt idx="18">
                  <c:v>1.4678065187852427</c:v>
                </c:pt>
                <c:pt idx="19">
                  <c:v>2.014567244313294</c:v>
                </c:pt>
                <c:pt idx="20">
                  <c:v>1.6259423872302408</c:v>
                </c:pt>
              </c:numCache>
            </c:numRef>
          </c:val>
          <c:extLst>
            <c:ext xmlns:c16="http://schemas.microsoft.com/office/drawing/2014/chart" uri="{C3380CC4-5D6E-409C-BE32-E72D297353CC}">
              <c16:uniqueId val="{00000001-2F5D-4C22-9E95-A8274C61E0FA}"/>
            </c:ext>
          </c:extLst>
        </c:ser>
        <c:ser>
          <c:idx val="0"/>
          <c:order val="3"/>
          <c:tx>
            <c:v>MFP</c:v>
          </c:tx>
          <c:spPr>
            <a:solidFill>
              <a:srgbClr val="D81B22"/>
            </a:solidFill>
            <a:ln>
              <a:noFill/>
            </a:ln>
            <a:effectLst/>
          </c:spPr>
          <c:invertIfNegative val="0"/>
          <c:cat>
            <c:numRef>
              <c:f>Romania!$A$10:$A$30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Romania!$C$10:$C$30</c:f>
              <c:numCache>
                <c:formatCode>0.0</c:formatCode>
                <c:ptCount val="21"/>
                <c:pt idx="0">
                  <c:v>14.797524060264646</c:v>
                </c:pt>
                <c:pt idx="1">
                  <c:v>6.0861212726610656</c:v>
                </c:pt>
                <c:pt idx="2">
                  <c:v>14.585984354664038</c:v>
                </c:pt>
                <c:pt idx="3">
                  <c:v>2.9991820000177913</c:v>
                </c:pt>
                <c:pt idx="4">
                  <c:v>7.3313686399815436</c:v>
                </c:pt>
                <c:pt idx="5">
                  <c:v>3.3253857799740061</c:v>
                </c:pt>
                <c:pt idx="6">
                  <c:v>8.6839771383903184</c:v>
                </c:pt>
                <c:pt idx="7">
                  <c:v>-2.9413184843197886</c:v>
                </c:pt>
                <c:pt idx="8">
                  <c:v>-4.552063913529337</c:v>
                </c:pt>
                <c:pt idx="9">
                  <c:v>1.775634222703264</c:v>
                </c:pt>
                <c:pt idx="10">
                  <c:v>3.5313819512650104</c:v>
                </c:pt>
                <c:pt idx="11">
                  <c:v>0.84363935918103605</c:v>
                </c:pt>
                <c:pt idx="12">
                  <c:v>2.0795276101538129</c:v>
                </c:pt>
                <c:pt idx="13">
                  <c:v>0.89052657032449822</c:v>
                </c:pt>
                <c:pt idx="14">
                  <c:v>-0.28203553301905337</c:v>
                </c:pt>
                <c:pt idx="15">
                  <c:v>6.1131094141137368</c:v>
                </c:pt>
                <c:pt idx="16">
                  <c:v>4.1906105187139566</c:v>
                </c:pt>
                <c:pt idx="17">
                  <c:v>1.6348101447071586</c:v>
                </c:pt>
                <c:pt idx="18">
                  <c:v>-2.5201120020049697</c:v>
                </c:pt>
                <c:pt idx="19">
                  <c:v>0.61360467931659413</c:v>
                </c:pt>
                <c:pt idx="20">
                  <c:v>1.6656227162012882</c:v>
                </c:pt>
              </c:numCache>
            </c:numRef>
          </c:val>
          <c:extLst>
            <c:ext xmlns:c16="http://schemas.microsoft.com/office/drawing/2014/chart" uri="{C3380CC4-5D6E-409C-BE32-E72D297353CC}">
              <c16:uniqueId val="{00000002-2F5D-4C22-9E95-A8274C61E0FA}"/>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Romania!$D$10:$D$30</c:f>
              <c:numCache>
                <c:formatCode>0.0</c:formatCode>
                <c:ptCount val="21"/>
                <c:pt idx="0">
                  <c:v>4.9321601865669251</c:v>
                </c:pt>
                <c:pt idx="1">
                  <c:v>2.2534810462401467</c:v>
                </c:pt>
                <c:pt idx="2">
                  <c:v>10.083314902778717</c:v>
                </c:pt>
                <c:pt idx="3">
                  <c:v>3.9392086371860202</c:v>
                </c:pt>
                <c:pt idx="4">
                  <c:v>8.1532134981904036</c:v>
                </c:pt>
                <c:pt idx="5">
                  <c:v>6.784313863689384</c:v>
                </c:pt>
                <c:pt idx="6">
                  <c:v>9.0681110426315215</c:v>
                </c:pt>
                <c:pt idx="7">
                  <c:v>-4.5433868797234211</c:v>
                </c:pt>
                <c:pt idx="8">
                  <c:v>-5.3181513168949479</c:v>
                </c:pt>
                <c:pt idx="9">
                  <c:v>4.1997958242003364</c:v>
                </c:pt>
                <c:pt idx="10">
                  <c:v>1.9816569093375591</c:v>
                </c:pt>
                <c:pt idx="11">
                  <c:v>0.40341084798054538</c:v>
                </c:pt>
                <c:pt idx="12">
                  <c:v>4.0825186660295998</c:v>
                </c:pt>
                <c:pt idx="13">
                  <c:v>2.6365068078325393</c:v>
                </c:pt>
                <c:pt idx="14">
                  <c:v>2.7760016123927755</c:v>
                </c:pt>
                <c:pt idx="15">
                  <c:v>8.0697788845261798</c:v>
                </c:pt>
                <c:pt idx="16">
                  <c:v>5.5860616823286691</c:v>
                </c:pt>
                <c:pt idx="17">
                  <c:v>3.7326698829589944</c:v>
                </c:pt>
                <c:pt idx="18">
                  <c:v>-3.5734964611940256</c:v>
                </c:pt>
                <c:pt idx="19">
                  <c:v>5.0257200595703821</c:v>
                </c:pt>
                <c:pt idx="20">
                  <c:v>3.0756408396657164</c:v>
                </c:pt>
              </c:numCache>
            </c:numRef>
          </c:val>
          <c:smooth val="0"/>
          <c:extLst>
            <c:ext xmlns:c16="http://schemas.microsoft.com/office/drawing/2014/chart" uri="{C3380CC4-5D6E-409C-BE32-E72D297353CC}">
              <c16:uniqueId val="{00000003-2F5D-4C22-9E95-A8274C61E0FA}"/>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Slovenia!$A$10:$A$30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Slovenia!$C$10:$C$30</c:f>
              <c:numCache>
                <c:formatCode>0.0</c:formatCode>
                <c:ptCount val="21"/>
                <c:pt idx="0">
                  <c:v>0.71783369010994991</c:v>
                </c:pt>
                <c:pt idx="1">
                  <c:v>2.3535616220202464</c:v>
                </c:pt>
                <c:pt idx="2">
                  <c:v>3.0493950586622129</c:v>
                </c:pt>
                <c:pt idx="3">
                  <c:v>5.0492720216842857</c:v>
                </c:pt>
                <c:pt idx="4">
                  <c:v>5.0108056836265771</c:v>
                </c:pt>
                <c:pt idx="5">
                  <c:v>3.9793302391068632</c:v>
                </c:pt>
                <c:pt idx="6">
                  <c:v>-0.23722210666425791</c:v>
                </c:pt>
                <c:pt idx="7">
                  <c:v>-7.0714211613652047</c:v>
                </c:pt>
                <c:pt idx="8">
                  <c:v>2.7713197548108091</c:v>
                </c:pt>
                <c:pt idx="9">
                  <c:v>2.2307089605402641</c:v>
                </c:pt>
                <c:pt idx="10">
                  <c:v>-1.1695967057330956</c:v>
                </c:pt>
                <c:pt idx="11">
                  <c:v>-0.32073874549560749</c:v>
                </c:pt>
                <c:pt idx="12">
                  <c:v>2.3585794606693371</c:v>
                </c:pt>
                <c:pt idx="13">
                  <c:v>1.2497689491099846</c:v>
                </c:pt>
                <c:pt idx="14">
                  <c:v>3.6625952002477398</c:v>
                </c:pt>
                <c:pt idx="15">
                  <c:v>4.5576501797164655</c:v>
                </c:pt>
                <c:pt idx="16">
                  <c:v>2.7608602277129597</c:v>
                </c:pt>
                <c:pt idx="17">
                  <c:v>1.7629289918717979</c:v>
                </c:pt>
                <c:pt idx="18">
                  <c:v>0.67020993132290108</c:v>
                </c:pt>
                <c:pt idx="19">
                  <c:v>3.0649914371775626</c:v>
                </c:pt>
                <c:pt idx="20">
                  <c:v>-0.54194727745884652</c:v>
                </c:pt>
              </c:numCache>
            </c:numRef>
          </c:val>
          <c:smooth val="0"/>
          <c:extLst>
            <c:ext xmlns:c16="http://schemas.microsoft.com/office/drawing/2014/chart" uri="{C3380CC4-5D6E-409C-BE32-E72D297353CC}">
              <c16:uniqueId val="{00000001-4A32-4925-812D-39F184E172B1}"/>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4A32-4925-812D-39F184E172B1}"/>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8040146003431441"/>
          <c:w val="0.48844822357262402"/>
          <c:h val="0.11959853996568565"/>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Slovenia!$A$10:$A$30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Slovenia!$E$10:$E$30</c:f>
              <c:numCache>
                <c:formatCode>0.0</c:formatCode>
                <c:ptCount val="21"/>
                <c:pt idx="0">
                  <c:v>2.0858133744069809</c:v>
                </c:pt>
                <c:pt idx="1">
                  <c:v>-0.13192872849792736</c:v>
                </c:pt>
                <c:pt idx="2">
                  <c:v>0.94484761816541918</c:v>
                </c:pt>
                <c:pt idx="3">
                  <c:v>-2.0177828132827171</c:v>
                </c:pt>
                <c:pt idx="4">
                  <c:v>-0.12301148470618994</c:v>
                </c:pt>
                <c:pt idx="5">
                  <c:v>1.7810590939521682</c:v>
                </c:pt>
                <c:pt idx="6">
                  <c:v>2.5175288972503371</c:v>
                </c:pt>
                <c:pt idx="7">
                  <c:v>-0.96315606811108234</c:v>
                </c:pt>
                <c:pt idx="8">
                  <c:v>-1.5365970136907106</c:v>
                </c:pt>
                <c:pt idx="9">
                  <c:v>-2.0157124758021103</c:v>
                </c:pt>
                <c:pt idx="10">
                  <c:v>-1.5268695347793118</c:v>
                </c:pt>
                <c:pt idx="11">
                  <c:v>-3.5627309166206385E-2</c:v>
                </c:pt>
                <c:pt idx="12">
                  <c:v>1.1622842585518225</c:v>
                </c:pt>
                <c:pt idx="13">
                  <c:v>1.1842261991054877</c:v>
                </c:pt>
                <c:pt idx="14">
                  <c:v>-0.18625261743764901</c:v>
                </c:pt>
                <c:pt idx="15">
                  <c:v>0.71364898510690511</c:v>
                </c:pt>
                <c:pt idx="16">
                  <c:v>1.4330211146940275</c:v>
                </c:pt>
                <c:pt idx="17">
                  <c:v>1.6946104238970296</c:v>
                </c:pt>
                <c:pt idx="18">
                  <c:v>-3.8342280764411441</c:v>
                </c:pt>
                <c:pt idx="19">
                  <c:v>3.960859376373385</c:v>
                </c:pt>
                <c:pt idx="20">
                  <c:v>2.9522598169423175</c:v>
                </c:pt>
              </c:numCache>
            </c:numRef>
          </c:val>
          <c:extLst>
            <c:ext xmlns:c16="http://schemas.microsoft.com/office/drawing/2014/chart" uri="{C3380CC4-5D6E-409C-BE32-E72D297353CC}">
              <c16:uniqueId val="{00000000-3135-45E9-8743-25CAA968D686}"/>
            </c:ext>
          </c:extLst>
        </c:ser>
        <c:ser>
          <c:idx val="3"/>
          <c:order val="2"/>
          <c:tx>
            <c:v>Capital stock</c:v>
          </c:tx>
          <c:spPr>
            <a:solidFill>
              <a:srgbClr val="1E88E5"/>
            </a:solidFill>
            <a:ln>
              <a:noFill/>
            </a:ln>
            <a:effectLst/>
          </c:spPr>
          <c:invertIfNegative val="0"/>
          <c:cat>
            <c:numRef>
              <c:f>Slovenia!$A$10:$A$30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Slovenia!$F$10:$F$30</c:f>
              <c:numCache>
                <c:formatCode>0.0</c:formatCode>
                <c:ptCount val="21"/>
                <c:pt idx="0">
                  <c:v>0.74898308278327563</c:v>
                </c:pt>
                <c:pt idx="1">
                  <c:v>1.1117751922699806</c:v>
                </c:pt>
                <c:pt idx="2">
                  <c:v>0.46296843354530637</c:v>
                </c:pt>
                <c:pt idx="3">
                  <c:v>0.59162807251405369</c:v>
                </c:pt>
                <c:pt idx="4">
                  <c:v>1.0834199558294499</c:v>
                </c:pt>
                <c:pt idx="5">
                  <c:v>1.3273418119354046</c:v>
                </c:pt>
                <c:pt idx="6">
                  <c:v>0.68617050269986146</c:v>
                </c:pt>
                <c:pt idx="7">
                  <c:v>0.66927193468304191</c:v>
                </c:pt>
                <c:pt idx="8">
                  <c:v>-6.5834569585721953E-2</c:v>
                </c:pt>
                <c:pt idx="9">
                  <c:v>0.10981424936533313</c:v>
                </c:pt>
                <c:pt idx="10">
                  <c:v>9.9339103396900524E-2</c:v>
                </c:pt>
                <c:pt idx="11">
                  <c:v>-0.10915670483696822</c:v>
                </c:pt>
                <c:pt idx="12">
                  <c:v>-9.8809778107414398E-2</c:v>
                </c:pt>
                <c:pt idx="13">
                  <c:v>-0.10438211570260511</c:v>
                </c:pt>
                <c:pt idx="14">
                  <c:v>-0.36805360934597792</c:v>
                </c:pt>
                <c:pt idx="15">
                  <c:v>6.0071984476342051E-2</c:v>
                </c:pt>
                <c:pt idx="16">
                  <c:v>0.1048186069025496</c:v>
                </c:pt>
                <c:pt idx="17">
                  <c:v>0.12628612982828041</c:v>
                </c:pt>
                <c:pt idx="18">
                  <c:v>5.7480718123061159E-2</c:v>
                </c:pt>
                <c:pt idx="19">
                  <c:v>0.33650121437017866</c:v>
                </c:pt>
                <c:pt idx="20">
                  <c:v>0.19240638141862079</c:v>
                </c:pt>
              </c:numCache>
            </c:numRef>
          </c:val>
          <c:extLst>
            <c:ext xmlns:c16="http://schemas.microsoft.com/office/drawing/2014/chart" uri="{C3380CC4-5D6E-409C-BE32-E72D297353CC}">
              <c16:uniqueId val="{00000001-3135-45E9-8743-25CAA968D686}"/>
            </c:ext>
          </c:extLst>
        </c:ser>
        <c:ser>
          <c:idx val="0"/>
          <c:order val="3"/>
          <c:tx>
            <c:v>MFP</c:v>
          </c:tx>
          <c:spPr>
            <a:solidFill>
              <a:srgbClr val="D81B22"/>
            </a:solidFill>
            <a:ln>
              <a:noFill/>
            </a:ln>
            <a:effectLst/>
          </c:spPr>
          <c:invertIfNegative val="0"/>
          <c:cat>
            <c:numRef>
              <c:f>Slovenia!$A$10:$A$30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Slovenia!$C$10:$C$30</c:f>
              <c:numCache>
                <c:formatCode>0.0</c:formatCode>
                <c:ptCount val="21"/>
                <c:pt idx="0">
                  <c:v>0.71783369010994991</c:v>
                </c:pt>
                <c:pt idx="1">
                  <c:v>2.3535616220202464</c:v>
                </c:pt>
                <c:pt idx="2">
                  <c:v>3.0493950586622129</c:v>
                </c:pt>
                <c:pt idx="3">
                  <c:v>5.0492720216842857</c:v>
                </c:pt>
                <c:pt idx="4">
                  <c:v>5.0108056836265771</c:v>
                </c:pt>
                <c:pt idx="5">
                  <c:v>3.9793302391068632</c:v>
                </c:pt>
                <c:pt idx="6">
                  <c:v>-0.23722210666425791</c:v>
                </c:pt>
                <c:pt idx="7">
                  <c:v>-7.0714211613652047</c:v>
                </c:pt>
                <c:pt idx="8">
                  <c:v>2.7713197548108091</c:v>
                </c:pt>
                <c:pt idx="9">
                  <c:v>2.2307089605402641</c:v>
                </c:pt>
                <c:pt idx="10">
                  <c:v>-1.1695967057330956</c:v>
                </c:pt>
                <c:pt idx="11">
                  <c:v>-0.32073874549560749</c:v>
                </c:pt>
                <c:pt idx="12">
                  <c:v>2.3585794606693371</c:v>
                </c:pt>
                <c:pt idx="13">
                  <c:v>1.2497689491099846</c:v>
                </c:pt>
                <c:pt idx="14">
                  <c:v>3.6625952002477398</c:v>
                </c:pt>
                <c:pt idx="15">
                  <c:v>4.5576501797164655</c:v>
                </c:pt>
                <c:pt idx="16">
                  <c:v>2.7608602277129597</c:v>
                </c:pt>
                <c:pt idx="17">
                  <c:v>1.7629289918717979</c:v>
                </c:pt>
                <c:pt idx="18">
                  <c:v>0.67020993132290108</c:v>
                </c:pt>
                <c:pt idx="19">
                  <c:v>3.0649914371775626</c:v>
                </c:pt>
                <c:pt idx="20">
                  <c:v>-0.54194727745884652</c:v>
                </c:pt>
              </c:numCache>
            </c:numRef>
          </c:val>
          <c:extLst>
            <c:ext xmlns:c16="http://schemas.microsoft.com/office/drawing/2014/chart" uri="{C3380CC4-5D6E-409C-BE32-E72D297353CC}">
              <c16:uniqueId val="{00000002-3135-45E9-8743-25CAA968D686}"/>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Slovenia!$D$10:$D$30</c:f>
              <c:numCache>
                <c:formatCode>0.0</c:formatCode>
                <c:ptCount val="21"/>
                <c:pt idx="0">
                  <c:v>3.5526301473002064</c:v>
                </c:pt>
                <c:pt idx="1">
                  <c:v>3.3334080857922999</c:v>
                </c:pt>
                <c:pt idx="2">
                  <c:v>4.4572111103729384</c:v>
                </c:pt>
                <c:pt idx="3">
                  <c:v>3.623117280915622</c:v>
                </c:pt>
                <c:pt idx="4">
                  <c:v>5.9712141547498376</c:v>
                </c:pt>
                <c:pt idx="5">
                  <c:v>7.0877311449944358</c:v>
                </c:pt>
                <c:pt idx="6">
                  <c:v>2.9664772932859407</c:v>
                </c:pt>
                <c:pt idx="7">
                  <c:v>-7.3653052947932451</c:v>
                </c:pt>
                <c:pt idx="8">
                  <c:v>1.1688881715343769</c:v>
                </c:pt>
                <c:pt idx="9">
                  <c:v>0.32481073410348671</c:v>
                </c:pt>
                <c:pt idx="10">
                  <c:v>-2.5971271371155069</c:v>
                </c:pt>
                <c:pt idx="11">
                  <c:v>-0.46552275949878208</c:v>
                </c:pt>
                <c:pt idx="12">
                  <c:v>3.4220539411137452</c:v>
                </c:pt>
                <c:pt idx="13">
                  <c:v>2.3296130325128672</c:v>
                </c:pt>
                <c:pt idx="14">
                  <c:v>3.1082889734641128</c:v>
                </c:pt>
                <c:pt idx="15">
                  <c:v>5.3313711492997129</c:v>
                </c:pt>
                <c:pt idx="16">
                  <c:v>4.2986999493095368</c:v>
                </c:pt>
                <c:pt idx="17">
                  <c:v>3.583825545597108</c:v>
                </c:pt>
                <c:pt idx="18">
                  <c:v>-3.1065374269951818</c:v>
                </c:pt>
                <c:pt idx="19">
                  <c:v>7.3623520279211263</c:v>
                </c:pt>
                <c:pt idx="20">
                  <c:v>2.6027189209020918</c:v>
                </c:pt>
              </c:numCache>
            </c:numRef>
          </c:val>
          <c:smooth val="0"/>
          <c:extLst>
            <c:ext xmlns:c16="http://schemas.microsoft.com/office/drawing/2014/chart" uri="{C3380CC4-5D6E-409C-BE32-E72D297353CC}">
              <c16:uniqueId val="{00000003-3135-45E9-8743-25CAA968D686}"/>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Slovakia!$A$10:$A$30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Slovakia!$C$10:$C$30</c:f>
              <c:numCache>
                <c:formatCode>0.0</c:formatCode>
                <c:ptCount val="21"/>
                <c:pt idx="0">
                  <c:v>5.176854932332815</c:v>
                </c:pt>
                <c:pt idx="1">
                  <c:v>0.8364073904574445</c:v>
                </c:pt>
                <c:pt idx="2">
                  <c:v>1.373512853002768</c:v>
                </c:pt>
                <c:pt idx="3">
                  <c:v>5.3998005175050627</c:v>
                </c:pt>
                <c:pt idx="4">
                  <c:v>6.3473857619924869</c:v>
                </c:pt>
                <c:pt idx="5">
                  <c:v>5.2111021081678466</c:v>
                </c:pt>
                <c:pt idx="6">
                  <c:v>1.2636316398766638</c:v>
                </c:pt>
                <c:pt idx="7">
                  <c:v>-3.927094646433019</c:v>
                </c:pt>
                <c:pt idx="8">
                  <c:v>7.1723422248628825</c:v>
                </c:pt>
                <c:pt idx="9">
                  <c:v>1.3555764470255764</c:v>
                </c:pt>
                <c:pt idx="10">
                  <c:v>2.3732060954811121</c:v>
                </c:pt>
                <c:pt idx="11">
                  <c:v>0.95685777085919865</c:v>
                </c:pt>
                <c:pt idx="12">
                  <c:v>2.1944434791103147</c:v>
                </c:pt>
                <c:pt idx="13">
                  <c:v>3.0977370710677747</c:v>
                </c:pt>
                <c:pt idx="14">
                  <c:v>0.38662667048899524</c:v>
                </c:pt>
                <c:pt idx="15">
                  <c:v>1.1869533663683147</c:v>
                </c:pt>
                <c:pt idx="16">
                  <c:v>2.6020195936836568</c:v>
                </c:pt>
                <c:pt idx="17">
                  <c:v>0.58889682415569777</c:v>
                </c:pt>
                <c:pt idx="18">
                  <c:v>2.6036299889714418</c:v>
                </c:pt>
                <c:pt idx="19">
                  <c:v>4.4635066340496428</c:v>
                </c:pt>
                <c:pt idx="20">
                  <c:v>-3.3051645708216588</c:v>
                </c:pt>
              </c:numCache>
            </c:numRef>
          </c:val>
          <c:smooth val="0"/>
          <c:extLst>
            <c:ext xmlns:c16="http://schemas.microsoft.com/office/drawing/2014/chart" uri="{C3380CC4-5D6E-409C-BE32-E72D297353CC}">
              <c16:uniqueId val="{00000001-F2B2-4F33-8DC0-5EBFA1DE4480}"/>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F2B2-4F33-8DC0-5EBFA1DE4480}"/>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9036387598893465"/>
          <c:w val="0.40428274568389366"/>
          <c:h val="9.6361240110653459E-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Slovakia!$A$10:$A$30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Slovakia!$E$10:$E$30</c:f>
              <c:numCache>
                <c:formatCode>0.0</c:formatCode>
                <c:ptCount val="21"/>
                <c:pt idx="0">
                  <c:v>-1.3113208289183305</c:v>
                </c:pt>
                <c:pt idx="1">
                  <c:v>-1.1368970916445946</c:v>
                </c:pt>
                <c:pt idx="2">
                  <c:v>1.1907787059224737</c:v>
                </c:pt>
                <c:pt idx="3">
                  <c:v>1.5790237141093586</c:v>
                </c:pt>
                <c:pt idx="4">
                  <c:v>1.1558979678684174</c:v>
                </c:pt>
                <c:pt idx="5">
                  <c:v>1.4640958047678696</c:v>
                </c:pt>
                <c:pt idx="6">
                  <c:v>1.6055730910511543</c:v>
                </c:pt>
                <c:pt idx="7">
                  <c:v>-1.3741778356215615</c:v>
                </c:pt>
                <c:pt idx="8">
                  <c:v>-7.2774549235421621E-2</c:v>
                </c:pt>
                <c:pt idx="9">
                  <c:v>0.55018416812975379</c:v>
                </c:pt>
                <c:pt idx="10">
                  <c:v>-8.633455591682844E-2</c:v>
                </c:pt>
                <c:pt idx="11">
                  <c:v>-0.88685346992227243</c:v>
                </c:pt>
                <c:pt idx="12">
                  <c:v>0.36616564953498076</c:v>
                </c:pt>
                <c:pt idx="13">
                  <c:v>0.84249689781462667</c:v>
                </c:pt>
                <c:pt idx="14">
                  <c:v>0.80792321825408719</c:v>
                </c:pt>
                <c:pt idx="15">
                  <c:v>0.35900235359129418</c:v>
                </c:pt>
                <c:pt idx="16">
                  <c:v>0.7857684548280589</c:v>
                </c:pt>
                <c:pt idx="17">
                  <c:v>0.19210850805372606</c:v>
                </c:pt>
                <c:pt idx="18">
                  <c:v>-5.4060622245689531</c:v>
                </c:pt>
                <c:pt idx="19">
                  <c:v>1.1940240214005348E-2</c:v>
                </c:pt>
                <c:pt idx="20">
                  <c:v>2.0509021474728293</c:v>
                </c:pt>
              </c:numCache>
            </c:numRef>
          </c:val>
          <c:extLst>
            <c:ext xmlns:c16="http://schemas.microsoft.com/office/drawing/2014/chart" uri="{C3380CC4-5D6E-409C-BE32-E72D297353CC}">
              <c16:uniqueId val="{00000000-B01A-4B05-8A0D-25C79B6052D2}"/>
            </c:ext>
          </c:extLst>
        </c:ser>
        <c:ser>
          <c:idx val="3"/>
          <c:order val="2"/>
          <c:tx>
            <c:v>Capital stock</c:v>
          </c:tx>
          <c:spPr>
            <a:solidFill>
              <a:srgbClr val="1E88E5"/>
            </a:solidFill>
            <a:ln>
              <a:noFill/>
            </a:ln>
            <a:effectLst/>
          </c:spPr>
          <c:invertIfNegative val="0"/>
          <c:cat>
            <c:numRef>
              <c:f>Slovakia!$A$10:$A$30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Slovakia!$F$10:$F$30</c:f>
              <c:numCache>
                <c:formatCode>0.0</c:formatCode>
                <c:ptCount val="21"/>
                <c:pt idx="0">
                  <c:v>0.14536228040164684</c:v>
                </c:pt>
                <c:pt idx="1">
                  <c:v>4.3262349407948086</c:v>
                </c:pt>
                <c:pt idx="2">
                  <c:v>1.9795118324649359</c:v>
                </c:pt>
                <c:pt idx="3">
                  <c:v>-1.1858545362082076</c:v>
                </c:pt>
                <c:pt idx="4">
                  <c:v>2.3222748142228076</c:v>
                </c:pt>
                <c:pt idx="5">
                  <c:v>3.8479385052330177</c:v>
                </c:pt>
                <c:pt idx="6">
                  <c:v>2.9489304953761266</c:v>
                </c:pt>
                <c:pt idx="7">
                  <c:v>3.7695752147487147E-2</c:v>
                </c:pt>
                <c:pt idx="8">
                  <c:v>-0.34501268177061811</c:v>
                </c:pt>
                <c:pt idx="9">
                  <c:v>-0.10052946194350222</c:v>
                </c:pt>
                <c:pt idx="10">
                  <c:v>0.13797539778217527</c:v>
                </c:pt>
                <c:pt idx="11">
                  <c:v>0.17769412268021142</c:v>
                </c:pt>
                <c:pt idx="12">
                  <c:v>5.5697928568933193E-2</c:v>
                </c:pt>
                <c:pt idx="13">
                  <c:v>0.86264367353457905</c:v>
                </c:pt>
                <c:pt idx="14">
                  <c:v>0.85970307335551921</c:v>
                </c:pt>
                <c:pt idx="15">
                  <c:v>0.66318325573005266</c:v>
                </c:pt>
                <c:pt idx="16">
                  <c:v>0.50312819910347928</c:v>
                </c:pt>
                <c:pt idx="17">
                  <c:v>1.0363316152856834</c:v>
                </c:pt>
                <c:pt idx="18">
                  <c:v>0.40696190812248695</c:v>
                </c:pt>
                <c:pt idx="19">
                  <c:v>0.51047037944020535</c:v>
                </c:pt>
                <c:pt idx="20">
                  <c:v>1.3474280667728165</c:v>
                </c:pt>
              </c:numCache>
            </c:numRef>
          </c:val>
          <c:extLst>
            <c:ext xmlns:c16="http://schemas.microsoft.com/office/drawing/2014/chart" uri="{C3380CC4-5D6E-409C-BE32-E72D297353CC}">
              <c16:uniqueId val="{00000001-B01A-4B05-8A0D-25C79B6052D2}"/>
            </c:ext>
          </c:extLst>
        </c:ser>
        <c:ser>
          <c:idx val="0"/>
          <c:order val="3"/>
          <c:tx>
            <c:v>MFP</c:v>
          </c:tx>
          <c:spPr>
            <a:solidFill>
              <a:srgbClr val="D81B22"/>
            </a:solidFill>
            <a:ln>
              <a:noFill/>
            </a:ln>
            <a:effectLst/>
          </c:spPr>
          <c:invertIfNegative val="0"/>
          <c:cat>
            <c:numRef>
              <c:f>Slovakia!$A$10:$A$30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Slovakia!$C$10:$C$30</c:f>
              <c:numCache>
                <c:formatCode>0.0</c:formatCode>
                <c:ptCount val="21"/>
                <c:pt idx="0">
                  <c:v>5.176854932332815</c:v>
                </c:pt>
                <c:pt idx="1">
                  <c:v>0.8364073904574445</c:v>
                </c:pt>
                <c:pt idx="2">
                  <c:v>1.373512853002768</c:v>
                </c:pt>
                <c:pt idx="3">
                  <c:v>5.3998005175050627</c:v>
                </c:pt>
                <c:pt idx="4">
                  <c:v>6.3473857619924869</c:v>
                </c:pt>
                <c:pt idx="5">
                  <c:v>5.2111021081678466</c:v>
                </c:pt>
                <c:pt idx="6">
                  <c:v>1.2636316398766638</c:v>
                </c:pt>
                <c:pt idx="7">
                  <c:v>-3.927094646433019</c:v>
                </c:pt>
                <c:pt idx="8">
                  <c:v>7.1723422248628825</c:v>
                </c:pt>
                <c:pt idx="9">
                  <c:v>1.3555764470255764</c:v>
                </c:pt>
                <c:pt idx="10">
                  <c:v>2.3732060954811121</c:v>
                </c:pt>
                <c:pt idx="11">
                  <c:v>0.95685777085919865</c:v>
                </c:pt>
                <c:pt idx="12">
                  <c:v>2.1944434791103147</c:v>
                </c:pt>
                <c:pt idx="13">
                  <c:v>3.0977370710677747</c:v>
                </c:pt>
                <c:pt idx="14">
                  <c:v>0.38662667048899524</c:v>
                </c:pt>
                <c:pt idx="15">
                  <c:v>1.1869533663683147</c:v>
                </c:pt>
                <c:pt idx="16">
                  <c:v>2.6020195936836568</c:v>
                </c:pt>
                <c:pt idx="17">
                  <c:v>0.58889682415569777</c:v>
                </c:pt>
                <c:pt idx="18">
                  <c:v>2.6036299889714418</c:v>
                </c:pt>
                <c:pt idx="19">
                  <c:v>4.4635066340496428</c:v>
                </c:pt>
                <c:pt idx="20">
                  <c:v>-3.3051645708216588</c:v>
                </c:pt>
              </c:numCache>
            </c:numRef>
          </c:val>
          <c:extLst>
            <c:ext xmlns:c16="http://schemas.microsoft.com/office/drawing/2014/chart" uri="{C3380CC4-5D6E-409C-BE32-E72D297353CC}">
              <c16:uniqueId val="{00000002-B01A-4B05-8A0D-25C79B6052D2}"/>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Slovakia!$D$10:$D$30</c:f>
              <c:numCache>
                <c:formatCode>0.0</c:formatCode>
                <c:ptCount val="21"/>
                <c:pt idx="0">
                  <c:v>4.0108963838161316</c:v>
                </c:pt>
                <c:pt idx="1">
                  <c:v>4.0257452396076587</c:v>
                </c:pt>
                <c:pt idx="2">
                  <c:v>4.5438033913901776</c:v>
                </c:pt>
                <c:pt idx="3">
                  <c:v>5.7929696954062138</c:v>
                </c:pt>
                <c:pt idx="4">
                  <c:v>9.8255585440837123</c:v>
                </c:pt>
                <c:pt idx="5">
                  <c:v>10.523136418168733</c:v>
                </c:pt>
                <c:pt idx="6">
                  <c:v>5.8181352263039443</c:v>
                </c:pt>
                <c:pt idx="7">
                  <c:v>-5.2635767299070935</c:v>
                </c:pt>
                <c:pt idx="8">
                  <c:v>6.7545549938568428</c:v>
                </c:pt>
                <c:pt idx="9">
                  <c:v>1.8052311532118281</c:v>
                </c:pt>
                <c:pt idx="10">
                  <c:v>2.4248469373464587</c:v>
                </c:pt>
                <c:pt idx="11">
                  <c:v>0.24769842361713756</c:v>
                </c:pt>
                <c:pt idx="12">
                  <c:v>2.6163070572142288</c:v>
                </c:pt>
                <c:pt idx="13">
                  <c:v>4.8028776424169806</c:v>
                </c:pt>
                <c:pt idx="14">
                  <c:v>2.0542529620986016</c:v>
                </c:pt>
                <c:pt idx="15">
                  <c:v>2.2091389756896618</c:v>
                </c:pt>
                <c:pt idx="16">
                  <c:v>3.8909162476151948</c:v>
                </c:pt>
                <c:pt idx="17">
                  <c:v>1.8173369474951073</c:v>
                </c:pt>
                <c:pt idx="18">
                  <c:v>-2.3954703274750244</c:v>
                </c:pt>
                <c:pt idx="19">
                  <c:v>4.9859172537038532</c:v>
                </c:pt>
                <c:pt idx="20">
                  <c:v>9.3165643423986921E-2</c:v>
                </c:pt>
              </c:numCache>
            </c:numRef>
          </c:val>
          <c:smooth val="0"/>
          <c:extLst>
            <c:ext xmlns:c16="http://schemas.microsoft.com/office/drawing/2014/chart" uri="{C3380CC4-5D6E-409C-BE32-E72D297353CC}">
              <c16:uniqueId val="{00000003-B01A-4B05-8A0D-25C79B6052D2}"/>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Finland!$A$10:$A$30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Finland!$C$10:$C$30</c:f>
              <c:numCache>
                <c:formatCode>0.0</c:formatCode>
                <c:ptCount val="21"/>
                <c:pt idx="0">
                  <c:v>0.22844832271058979</c:v>
                </c:pt>
                <c:pt idx="1">
                  <c:v>0.66635300030086342</c:v>
                </c:pt>
                <c:pt idx="2">
                  <c:v>2.7767245139175776</c:v>
                </c:pt>
                <c:pt idx="3">
                  <c:v>1.3307196428091916</c:v>
                </c:pt>
                <c:pt idx="4">
                  <c:v>2.0946811625547825</c:v>
                </c:pt>
                <c:pt idx="5">
                  <c:v>3.7332624728331663</c:v>
                </c:pt>
                <c:pt idx="6">
                  <c:v>-1.124558591252538</c:v>
                </c:pt>
                <c:pt idx="7">
                  <c:v>-6.8598635830828885</c:v>
                </c:pt>
                <c:pt idx="8">
                  <c:v>3.0534090876412447</c:v>
                </c:pt>
                <c:pt idx="9">
                  <c:v>0.58047283347946932</c:v>
                </c:pt>
                <c:pt idx="10">
                  <c:v>-2.3981577112191337</c:v>
                </c:pt>
                <c:pt idx="11">
                  <c:v>-0.58546976361349934</c:v>
                </c:pt>
                <c:pt idx="12">
                  <c:v>-0.15257980695462342</c:v>
                </c:pt>
                <c:pt idx="13">
                  <c:v>-9.7730886409730461E-2</c:v>
                </c:pt>
                <c:pt idx="14">
                  <c:v>1.4970549240708317</c:v>
                </c:pt>
                <c:pt idx="15">
                  <c:v>2.9679204816495046</c:v>
                </c:pt>
                <c:pt idx="16">
                  <c:v>-1.4285059660472679</c:v>
                </c:pt>
                <c:pt idx="17">
                  <c:v>0.54350245131781727</c:v>
                </c:pt>
                <c:pt idx="18">
                  <c:v>-1.1546026056913927</c:v>
                </c:pt>
                <c:pt idx="19">
                  <c:v>0.82511721334714194</c:v>
                </c:pt>
                <c:pt idx="20">
                  <c:v>-1.0515138737081298</c:v>
                </c:pt>
              </c:numCache>
            </c:numRef>
          </c:val>
          <c:smooth val="0"/>
          <c:extLst>
            <c:ext xmlns:c16="http://schemas.microsoft.com/office/drawing/2014/chart" uri="{C3380CC4-5D6E-409C-BE32-E72D297353CC}">
              <c16:uniqueId val="{00000001-683D-4726-BB97-84D5272D9087}"/>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683D-4726-BB97-84D5272D9087}"/>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92919978972988193"/>
          <c:w val="0.46134408662540582"/>
          <c:h val="7.0800210270118055E-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Finland!$A$10:$A$30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Finland!$E$10:$E$30</c:f>
              <c:numCache>
                <c:formatCode>0.0</c:formatCode>
                <c:ptCount val="21"/>
                <c:pt idx="0">
                  <c:v>0.49677239051951888</c:v>
                </c:pt>
                <c:pt idx="1">
                  <c:v>-7.9496293101105772E-2</c:v>
                </c:pt>
                <c:pt idx="2">
                  <c:v>0.37983891355017635</c:v>
                </c:pt>
                <c:pt idx="3">
                  <c:v>0.55599752652976486</c:v>
                </c:pt>
                <c:pt idx="4">
                  <c:v>0.98582546274541338</c:v>
                </c:pt>
                <c:pt idx="5">
                  <c:v>1.2339653274379556</c:v>
                </c:pt>
                <c:pt idx="6">
                  <c:v>1.219478022987617</c:v>
                </c:pt>
                <c:pt idx="7">
                  <c:v>-2.528129225099228</c:v>
                </c:pt>
                <c:pt idx="8">
                  <c:v>-0.26124234837250876</c:v>
                </c:pt>
                <c:pt idx="9">
                  <c:v>0.66679199241404952</c:v>
                </c:pt>
                <c:pt idx="10">
                  <c:v>-9.0433345345099628E-2</c:v>
                </c:pt>
                <c:pt idx="11">
                  <c:v>-0.87287471850584408</c:v>
                </c:pt>
                <c:pt idx="12">
                  <c:v>-0.54431249850882168</c:v>
                </c:pt>
                <c:pt idx="13">
                  <c:v>0.14437702410104344</c:v>
                </c:pt>
                <c:pt idx="14">
                  <c:v>0.35888023935986679</c:v>
                </c:pt>
                <c:pt idx="15">
                  <c:v>0.13040744943991217</c:v>
                </c:pt>
                <c:pt idx="16">
                  <c:v>1.5580414185486202</c:v>
                </c:pt>
                <c:pt idx="17">
                  <c:v>0.51045976175979424</c:v>
                </c:pt>
                <c:pt idx="18">
                  <c:v>-1.8210292051128194</c:v>
                </c:pt>
                <c:pt idx="19">
                  <c:v>1.3622997759038833</c:v>
                </c:pt>
                <c:pt idx="20">
                  <c:v>1.5973935481320383</c:v>
                </c:pt>
              </c:numCache>
            </c:numRef>
          </c:val>
          <c:extLst>
            <c:ext xmlns:c16="http://schemas.microsoft.com/office/drawing/2014/chart" uri="{C3380CC4-5D6E-409C-BE32-E72D297353CC}">
              <c16:uniqueId val="{00000000-A535-4E9A-8376-5DC8D54E87AC}"/>
            </c:ext>
          </c:extLst>
        </c:ser>
        <c:ser>
          <c:idx val="3"/>
          <c:order val="2"/>
          <c:tx>
            <c:v>Capital stock</c:v>
          </c:tx>
          <c:spPr>
            <a:solidFill>
              <a:srgbClr val="1E88E5"/>
            </a:solidFill>
            <a:ln>
              <a:noFill/>
            </a:ln>
            <a:effectLst/>
          </c:spPr>
          <c:invertIfNegative val="0"/>
          <c:cat>
            <c:numRef>
              <c:f>Finland!$A$10:$A$30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Finland!$F$10:$F$30</c:f>
              <c:numCache>
                <c:formatCode>0.0</c:formatCode>
                <c:ptCount val="21"/>
                <c:pt idx="0">
                  <c:v>0.58076282374955146</c:v>
                </c:pt>
                <c:pt idx="1">
                  <c:v>0.58616477515196397</c:v>
                </c:pt>
                <c:pt idx="2">
                  <c:v>0.64808195668321922</c:v>
                </c:pt>
                <c:pt idx="3">
                  <c:v>0.66080663682787288</c:v>
                </c:pt>
                <c:pt idx="4">
                  <c:v>0.63867463527709067</c:v>
                </c:pt>
                <c:pt idx="5">
                  <c:v>0.8776980936606299</c:v>
                </c:pt>
                <c:pt idx="6">
                  <c:v>0.81652246598650868</c:v>
                </c:pt>
                <c:pt idx="7">
                  <c:v>0.36930293981913309</c:v>
                </c:pt>
                <c:pt idx="8">
                  <c:v>0.37114085256183038</c:v>
                </c:pt>
                <c:pt idx="9">
                  <c:v>0.46676484618384739</c:v>
                </c:pt>
                <c:pt idx="10">
                  <c:v>0.42036526128002671</c:v>
                </c:pt>
                <c:pt idx="11">
                  <c:v>0.30562235851123587</c:v>
                </c:pt>
                <c:pt idx="12">
                  <c:v>0.25826970259717746</c:v>
                </c:pt>
                <c:pt idx="13">
                  <c:v>0.25921346065550077</c:v>
                </c:pt>
                <c:pt idx="14">
                  <c:v>0.44692544403395329</c:v>
                </c:pt>
                <c:pt idx="15">
                  <c:v>0.58608086480032084</c:v>
                </c:pt>
                <c:pt idx="16">
                  <c:v>0.66326782913473747</c:v>
                </c:pt>
                <c:pt idx="17">
                  <c:v>0.55460772263457803</c:v>
                </c:pt>
                <c:pt idx="18">
                  <c:v>0.51764830185519894</c:v>
                </c:pt>
                <c:pt idx="19">
                  <c:v>0.5277375788472739</c:v>
                </c:pt>
                <c:pt idx="20">
                  <c:v>0.52377294581734868</c:v>
                </c:pt>
              </c:numCache>
            </c:numRef>
          </c:val>
          <c:extLst>
            <c:ext xmlns:c16="http://schemas.microsoft.com/office/drawing/2014/chart" uri="{C3380CC4-5D6E-409C-BE32-E72D297353CC}">
              <c16:uniqueId val="{00000001-A535-4E9A-8376-5DC8D54E87AC}"/>
            </c:ext>
          </c:extLst>
        </c:ser>
        <c:ser>
          <c:idx val="0"/>
          <c:order val="3"/>
          <c:tx>
            <c:v>MFP</c:v>
          </c:tx>
          <c:spPr>
            <a:solidFill>
              <a:srgbClr val="D81B22"/>
            </a:solidFill>
            <a:ln>
              <a:noFill/>
            </a:ln>
            <a:effectLst/>
          </c:spPr>
          <c:invertIfNegative val="0"/>
          <c:cat>
            <c:numRef>
              <c:f>Finland!$A$10:$A$30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Finland!$C$10:$C$30</c:f>
              <c:numCache>
                <c:formatCode>0.0</c:formatCode>
                <c:ptCount val="21"/>
                <c:pt idx="0">
                  <c:v>0.22844832271058979</c:v>
                </c:pt>
                <c:pt idx="1">
                  <c:v>0.66635300030086342</c:v>
                </c:pt>
                <c:pt idx="2">
                  <c:v>2.7767245139175776</c:v>
                </c:pt>
                <c:pt idx="3">
                  <c:v>1.3307196428091916</c:v>
                </c:pt>
                <c:pt idx="4">
                  <c:v>2.0946811625547825</c:v>
                </c:pt>
                <c:pt idx="5">
                  <c:v>3.7332624728331663</c:v>
                </c:pt>
                <c:pt idx="6">
                  <c:v>-1.124558591252538</c:v>
                </c:pt>
                <c:pt idx="7">
                  <c:v>-6.8598635830828885</c:v>
                </c:pt>
                <c:pt idx="8">
                  <c:v>3.0534090876412447</c:v>
                </c:pt>
                <c:pt idx="9">
                  <c:v>0.58047283347946932</c:v>
                </c:pt>
                <c:pt idx="10">
                  <c:v>-2.3981577112191337</c:v>
                </c:pt>
                <c:pt idx="11">
                  <c:v>-0.58546976361349934</c:v>
                </c:pt>
                <c:pt idx="12">
                  <c:v>-0.15257980695462342</c:v>
                </c:pt>
                <c:pt idx="13">
                  <c:v>-9.7730886409730461E-2</c:v>
                </c:pt>
                <c:pt idx="14">
                  <c:v>1.4970549240708317</c:v>
                </c:pt>
                <c:pt idx="15">
                  <c:v>2.9679204816495046</c:v>
                </c:pt>
                <c:pt idx="16">
                  <c:v>-1.4285059660472679</c:v>
                </c:pt>
                <c:pt idx="17">
                  <c:v>0.54350245131781727</c:v>
                </c:pt>
                <c:pt idx="18">
                  <c:v>-1.1546026056913927</c:v>
                </c:pt>
                <c:pt idx="19">
                  <c:v>0.82511721334714194</c:v>
                </c:pt>
                <c:pt idx="20">
                  <c:v>-1.0515138737081298</c:v>
                </c:pt>
              </c:numCache>
            </c:numRef>
          </c:val>
          <c:extLst>
            <c:ext xmlns:c16="http://schemas.microsoft.com/office/drawing/2014/chart" uri="{C3380CC4-5D6E-409C-BE32-E72D297353CC}">
              <c16:uniqueId val="{00000002-A535-4E9A-8376-5DC8D54E87AC}"/>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Finland!$D$10:$D$30</c:f>
              <c:numCache>
                <c:formatCode>0.0</c:formatCode>
                <c:ptCount val="21"/>
                <c:pt idx="0">
                  <c:v>1.3059835369796602</c:v>
                </c:pt>
                <c:pt idx="1">
                  <c:v>1.1730214823517215</c:v>
                </c:pt>
                <c:pt idx="2">
                  <c:v>3.8046453841509731</c:v>
                </c:pt>
                <c:pt idx="3">
                  <c:v>2.5475238061668293</c:v>
                </c:pt>
                <c:pt idx="4">
                  <c:v>3.7191812605772867</c:v>
                </c:pt>
                <c:pt idx="5">
                  <c:v>5.8449258939317517</c:v>
                </c:pt>
                <c:pt idx="6">
                  <c:v>0.91144189772158768</c:v>
                </c:pt>
                <c:pt idx="7">
                  <c:v>-9.0186898683629835</c:v>
                </c:pt>
                <c:pt idx="8">
                  <c:v>3.1633075918305664</c:v>
                </c:pt>
                <c:pt idx="9">
                  <c:v>1.7140296720773662</c:v>
                </c:pt>
                <c:pt idx="10">
                  <c:v>-2.0682257952842065</c:v>
                </c:pt>
                <c:pt idx="11">
                  <c:v>-1.1527221236081076</c:v>
                </c:pt>
                <c:pt idx="12">
                  <c:v>-0.43862260286626764</c:v>
                </c:pt>
                <c:pt idx="13">
                  <c:v>0.30585959834681375</c:v>
                </c:pt>
                <c:pt idx="14">
                  <c:v>2.3028606074646518</c:v>
                </c:pt>
                <c:pt idx="15">
                  <c:v>3.6844087958897376</c:v>
                </c:pt>
                <c:pt idx="16">
                  <c:v>0.79280328163608971</c:v>
                </c:pt>
                <c:pt idx="17">
                  <c:v>1.6085699357121896</c:v>
                </c:pt>
                <c:pt idx="18">
                  <c:v>-2.4579835089490132</c:v>
                </c:pt>
                <c:pt idx="19">
                  <c:v>2.7151545680982991</c:v>
                </c:pt>
                <c:pt idx="20">
                  <c:v>1.0696526202412571</c:v>
                </c:pt>
              </c:numCache>
            </c:numRef>
          </c:val>
          <c:smooth val="0"/>
          <c:extLst>
            <c:ext xmlns:c16="http://schemas.microsoft.com/office/drawing/2014/chart" uri="{C3380CC4-5D6E-409C-BE32-E72D297353CC}">
              <c16:uniqueId val="{00000003-A535-4E9A-8376-5DC8D54E87AC}"/>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Sweden!$A$10:$A$30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Sweden!$C$10:$C$30</c:f>
              <c:numCache>
                <c:formatCode>0.0</c:formatCode>
                <c:ptCount val="21"/>
                <c:pt idx="0">
                  <c:v>2.0114146586645245</c:v>
                </c:pt>
                <c:pt idx="1">
                  <c:v>1.7946993093785819</c:v>
                </c:pt>
                <c:pt idx="2">
                  <c:v>3.1003054491089514</c:v>
                </c:pt>
                <c:pt idx="3">
                  <c:v>1.7869470440331643</c:v>
                </c:pt>
                <c:pt idx="4">
                  <c:v>2.8683114702571344</c:v>
                </c:pt>
                <c:pt idx="5">
                  <c:v>0.4065912652827488</c:v>
                </c:pt>
                <c:pt idx="6">
                  <c:v>-2.9786216633396014</c:v>
                </c:pt>
                <c:pt idx="7">
                  <c:v>-4.0513081794410617</c:v>
                </c:pt>
                <c:pt idx="8">
                  <c:v>3.7838849573821722</c:v>
                </c:pt>
                <c:pt idx="9">
                  <c:v>1.5497316946506865</c:v>
                </c:pt>
                <c:pt idx="10">
                  <c:v>-1.205061218211593</c:v>
                </c:pt>
                <c:pt idx="11">
                  <c:v>0.10593048945753192</c:v>
                </c:pt>
                <c:pt idx="12">
                  <c:v>0.72580754001146897</c:v>
                </c:pt>
                <c:pt idx="13">
                  <c:v>2.5162062298339825</c:v>
                </c:pt>
                <c:pt idx="14">
                  <c:v>-0.62969396444287606</c:v>
                </c:pt>
                <c:pt idx="15">
                  <c:v>2.5476773791802687E-2</c:v>
                </c:pt>
                <c:pt idx="16">
                  <c:v>-8.1430826765528375E-2</c:v>
                </c:pt>
                <c:pt idx="17">
                  <c:v>1.9906074828770359</c:v>
                </c:pt>
                <c:pt idx="18">
                  <c:v>-1.2574708250086297</c:v>
                </c:pt>
                <c:pt idx="19">
                  <c:v>2.8836582897038685</c:v>
                </c:pt>
                <c:pt idx="20">
                  <c:v>-1.276924721106258</c:v>
                </c:pt>
              </c:numCache>
            </c:numRef>
          </c:val>
          <c:smooth val="0"/>
          <c:extLst>
            <c:ext xmlns:c16="http://schemas.microsoft.com/office/drawing/2014/chart" uri="{C3380CC4-5D6E-409C-BE32-E72D297353CC}">
              <c16:uniqueId val="{00000001-C2F6-44AD-B12A-61D0798CF65C}"/>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C2F6-44AD-B12A-61D0798CF65C}"/>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5484043019377898"/>
          <c:w val="0.53124422927875814"/>
          <c:h val="0.14515956980622105"/>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Sweden!$A$10:$A$30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Sweden!$E$10:$E$30</c:f>
              <c:numCache>
                <c:formatCode>0.0</c:formatCode>
                <c:ptCount val="21"/>
                <c:pt idx="0">
                  <c:v>-0.78454964877484012</c:v>
                </c:pt>
                <c:pt idx="1">
                  <c:v>-0.79390049747293634</c:v>
                </c:pt>
                <c:pt idx="2">
                  <c:v>0.51097915494944457</c:v>
                </c:pt>
                <c:pt idx="3">
                  <c:v>-5.4167908622255991E-2</c:v>
                </c:pt>
                <c:pt idx="4">
                  <c:v>0.98370620224035421</c:v>
                </c:pt>
                <c:pt idx="5">
                  <c:v>1.6953912037254126</c:v>
                </c:pt>
                <c:pt idx="6">
                  <c:v>0.77226095341970147</c:v>
                </c:pt>
                <c:pt idx="7">
                  <c:v>-1.7292683933558355</c:v>
                </c:pt>
                <c:pt idx="8">
                  <c:v>1.3563444271659395</c:v>
                </c:pt>
                <c:pt idx="9">
                  <c:v>1.3219962414455941</c:v>
                </c:pt>
                <c:pt idx="10">
                  <c:v>-6.6785931644553514E-2</c:v>
                </c:pt>
                <c:pt idx="11">
                  <c:v>0.24893577955852114</c:v>
                </c:pt>
                <c:pt idx="12">
                  <c:v>0.88784748494545596</c:v>
                </c:pt>
                <c:pt idx="13">
                  <c:v>0.92604519476954184</c:v>
                </c:pt>
                <c:pt idx="14">
                  <c:v>1.5632997185006432</c:v>
                </c:pt>
                <c:pt idx="15">
                  <c:v>0.9540543089059319</c:v>
                </c:pt>
                <c:pt idx="16">
                  <c:v>0.93736804670163376</c:v>
                </c:pt>
                <c:pt idx="17">
                  <c:v>-0.16848886271171426</c:v>
                </c:pt>
                <c:pt idx="18">
                  <c:v>-1.9085277932650233</c:v>
                </c:pt>
                <c:pt idx="19">
                  <c:v>1.4830459916582339</c:v>
                </c:pt>
                <c:pt idx="20">
                  <c:v>1.7354814970830978</c:v>
                </c:pt>
              </c:numCache>
            </c:numRef>
          </c:val>
          <c:extLst>
            <c:ext xmlns:c16="http://schemas.microsoft.com/office/drawing/2014/chart" uri="{C3380CC4-5D6E-409C-BE32-E72D297353CC}">
              <c16:uniqueId val="{00000000-4DC8-4A06-AC3E-93FCEE541379}"/>
            </c:ext>
          </c:extLst>
        </c:ser>
        <c:ser>
          <c:idx val="3"/>
          <c:order val="2"/>
          <c:tx>
            <c:v>Capital stock</c:v>
          </c:tx>
          <c:spPr>
            <a:solidFill>
              <a:srgbClr val="1E88E5"/>
            </a:solidFill>
            <a:ln>
              <a:noFill/>
            </a:ln>
            <a:effectLst/>
          </c:spPr>
          <c:invertIfNegative val="0"/>
          <c:cat>
            <c:numRef>
              <c:f>Sweden!$A$10:$A$30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Sweden!$F$10:$F$30</c:f>
              <c:numCache>
                <c:formatCode>0.0</c:formatCode>
                <c:ptCount val="21"/>
                <c:pt idx="0">
                  <c:v>0.97208750693902746</c:v>
                </c:pt>
                <c:pt idx="1">
                  <c:v>0.91636506980388155</c:v>
                </c:pt>
                <c:pt idx="2">
                  <c:v>0.79784442229962027</c:v>
                </c:pt>
                <c:pt idx="3">
                  <c:v>0.86445749971436925</c:v>
                </c:pt>
                <c:pt idx="4">
                  <c:v>0.91743461740753007</c:v>
                </c:pt>
                <c:pt idx="5">
                  <c:v>1.0581692317523326</c:v>
                </c:pt>
                <c:pt idx="6">
                  <c:v>1.24371582458295</c:v>
                </c:pt>
                <c:pt idx="7">
                  <c:v>1.1006966341889075</c:v>
                </c:pt>
                <c:pt idx="8">
                  <c:v>0.60813900430037815</c:v>
                </c:pt>
                <c:pt idx="9">
                  <c:v>0.70472702711089563</c:v>
                </c:pt>
                <c:pt idx="10">
                  <c:v>0.87268190611941421</c:v>
                </c:pt>
                <c:pt idx="11">
                  <c:v>0.74169244121623401</c:v>
                </c:pt>
                <c:pt idx="12">
                  <c:v>0.70660379476722746</c:v>
                </c:pt>
                <c:pt idx="13">
                  <c:v>0.74901546787345019</c:v>
                </c:pt>
                <c:pt idx="14">
                  <c:v>0.81631103732890709</c:v>
                </c:pt>
                <c:pt idx="15">
                  <c:v>1.0121408557066811</c:v>
                </c:pt>
                <c:pt idx="16">
                  <c:v>0.95119066779699002</c:v>
                </c:pt>
                <c:pt idx="17">
                  <c:v>0.95050176962954502</c:v>
                </c:pt>
                <c:pt idx="18">
                  <c:v>0.87524263392582768</c:v>
                </c:pt>
                <c:pt idx="19">
                  <c:v>0.85934941525078457</c:v>
                </c:pt>
                <c:pt idx="20">
                  <c:v>0.97737037675253735</c:v>
                </c:pt>
              </c:numCache>
            </c:numRef>
          </c:val>
          <c:extLst>
            <c:ext xmlns:c16="http://schemas.microsoft.com/office/drawing/2014/chart" uri="{C3380CC4-5D6E-409C-BE32-E72D297353CC}">
              <c16:uniqueId val="{00000001-4DC8-4A06-AC3E-93FCEE541379}"/>
            </c:ext>
          </c:extLst>
        </c:ser>
        <c:ser>
          <c:idx val="0"/>
          <c:order val="3"/>
          <c:tx>
            <c:v>MFP</c:v>
          </c:tx>
          <c:spPr>
            <a:solidFill>
              <a:srgbClr val="D81B22"/>
            </a:solidFill>
            <a:ln>
              <a:noFill/>
            </a:ln>
            <a:effectLst/>
          </c:spPr>
          <c:invertIfNegative val="0"/>
          <c:cat>
            <c:numRef>
              <c:f>Sweden!$A$10:$A$30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Sweden!$C$10:$C$30</c:f>
              <c:numCache>
                <c:formatCode>0.0</c:formatCode>
                <c:ptCount val="21"/>
                <c:pt idx="0">
                  <c:v>2.0114146586645245</c:v>
                </c:pt>
                <c:pt idx="1">
                  <c:v>1.7946993093785819</c:v>
                </c:pt>
                <c:pt idx="2">
                  <c:v>3.1003054491089514</c:v>
                </c:pt>
                <c:pt idx="3">
                  <c:v>1.7869470440331643</c:v>
                </c:pt>
                <c:pt idx="4">
                  <c:v>2.8683114702571344</c:v>
                </c:pt>
                <c:pt idx="5">
                  <c:v>0.4065912652827488</c:v>
                </c:pt>
                <c:pt idx="6">
                  <c:v>-2.9786216633396014</c:v>
                </c:pt>
                <c:pt idx="7">
                  <c:v>-4.0513081794410617</c:v>
                </c:pt>
                <c:pt idx="8">
                  <c:v>3.7838849573821722</c:v>
                </c:pt>
                <c:pt idx="9">
                  <c:v>1.5497316946506865</c:v>
                </c:pt>
                <c:pt idx="10">
                  <c:v>-1.205061218211593</c:v>
                </c:pt>
                <c:pt idx="11">
                  <c:v>0.10593048945753192</c:v>
                </c:pt>
                <c:pt idx="12">
                  <c:v>0.72580754001146897</c:v>
                </c:pt>
                <c:pt idx="13">
                  <c:v>2.5162062298339825</c:v>
                </c:pt>
                <c:pt idx="14">
                  <c:v>-0.62969396444287606</c:v>
                </c:pt>
                <c:pt idx="15">
                  <c:v>2.5476773791802687E-2</c:v>
                </c:pt>
                <c:pt idx="16">
                  <c:v>-8.1430826765528375E-2</c:v>
                </c:pt>
                <c:pt idx="17">
                  <c:v>1.9906074828770359</c:v>
                </c:pt>
                <c:pt idx="18">
                  <c:v>-1.2574708250086297</c:v>
                </c:pt>
                <c:pt idx="19">
                  <c:v>2.8836582897038685</c:v>
                </c:pt>
                <c:pt idx="20">
                  <c:v>-1.276924721106258</c:v>
                </c:pt>
              </c:numCache>
            </c:numRef>
          </c:val>
          <c:extLst>
            <c:ext xmlns:c16="http://schemas.microsoft.com/office/drawing/2014/chart" uri="{C3380CC4-5D6E-409C-BE32-E72D297353CC}">
              <c16:uniqueId val="{00000002-4DC8-4A06-AC3E-93FCEE541379}"/>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Sweden!$D$10:$D$30</c:f>
              <c:numCache>
                <c:formatCode>0.0</c:formatCode>
                <c:ptCount val="21"/>
                <c:pt idx="0">
                  <c:v>2.1989525168287116</c:v>
                </c:pt>
                <c:pt idx="1">
                  <c:v>1.9171638817095271</c:v>
                </c:pt>
                <c:pt idx="2">
                  <c:v>4.4091290263580163</c:v>
                </c:pt>
                <c:pt idx="3">
                  <c:v>2.5972366351252774</c:v>
                </c:pt>
                <c:pt idx="4">
                  <c:v>4.7694522899050185</c:v>
                </c:pt>
                <c:pt idx="5">
                  <c:v>3.160151700760494</c:v>
                </c:pt>
                <c:pt idx="6">
                  <c:v>-0.96264488533694959</c:v>
                </c:pt>
                <c:pt idx="7">
                  <c:v>-4.6798799386079892</c:v>
                </c:pt>
                <c:pt idx="8">
                  <c:v>5.7483683888484904</c:v>
                </c:pt>
                <c:pt idx="9">
                  <c:v>3.5764549632071763</c:v>
                </c:pt>
                <c:pt idx="10">
                  <c:v>-0.39916524373673212</c:v>
                </c:pt>
                <c:pt idx="11">
                  <c:v>1.0965587102322871</c:v>
                </c:pt>
                <c:pt idx="12">
                  <c:v>2.3202588197241525</c:v>
                </c:pt>
                <c:pt idx="13">
                  <c:v>4.1912668924769747</c:v>
                </c:pt>
                <c:pt idx="14">
                  <c:v>1.7499167913866742</c:v>
                </c:pt>
                <c:pt idx="15">
                  <c:v>1.9916719384044157</c:v>
                </c:pt>
                <c:pt idx="16">
                  <c:v>1.8071278877330954</c:v>
                </c:pt>
                <c:pt idx="17">
                  <c:v>2.7726203897948665</c:v>
                </c:pt>
                <c:pt idx="18">
                  <c:v>-2.2907559843478253</c:v>
                </c:pt>
                <c:pt idx="19">
                  <c:v>5.2260536966128868</c:v>
                </c:pt>
                <c:pt idx="20">
                  <c:v>1.4359271527293771</c:v>
                </c:pt>
              </c:numCache>
            </c:numRef>
          </c:val>
          <c:smooth val="0"/>
          <c:extLst>
            <c:ext xmlns:c16="http://schemas.microsoft.com/office/drawing/2014/chart" uri="{C3380CC4-5D6E-409C-BE32-E72D297353CC}">
              <c16:uniqueId val="{00000003-4DC8-4A06-AC3E-93FCEE541379}"/>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b="1"/>
            </a:pPr>
            <a:r>
              <a:rPr lang="en-US" b="1"/>
              <a:t>MFP growth contribution</a:t>
            </a:r>
          </a:p>
          <a:p>
            <a:pPr>
              <a:defRPr b="1"/>
            </a:pPr>
            <a:r>
              <a:rPr lang="en-US" b="1"/>
              <a:t>% change</a:t>
            </a:r>
          </a:p>
        </c:rich>
      </c:tx>
      <c:layout>
        <c:manualLayout>
          <c:xMode val="edge"/>
          <c:yMode val="edge"/>
          <c:x val="0.33862536545118649"/>
          <c:y val="5.5909187974807588E-4"/>
        </c:manualLayout>
      </c:layout>
      <c:overlay val="0"/>
      <c:spPr>
        <a:noFill/>
        <a:ln>
          <a:noFill/>
        </a:ln>
        <a:effectLst/>
      </c:spPr>
    </c:title>
    <c:autoTitleDeleted val="0"/>
    <c:plotArea>
      <c:layout>
        <c:manualLayout>
          <c:layoutTarget val="inner"/>
          <c:xMode val="edge"/>
          <c:yMode val="edge"/>
          <c:x val="4.1672607101173806E-2"/>
          <c:y val="0.20064399915549117"/>
          <c:w val="0.90498843464073842"/>
          <c:h val="0.61617123215875136"/>
        </c:manualLayout>
      </c:layout>
      <c:lineChart>
        <c:grouping val="standard"/>
        <c:varyColors val="0"/>
        <c:ser>
          <c:idx val="1"/>
          <c:order val="0"/>
          <c:tx>
            <c:v>MFP growth contribution</c:v>
          </c:tx>
          <c:spPr>
            <a:ln>
              <a:solidFill>
                <a:srgbClr val="FF0000"/>
              </a:solidFill>
            </a:ln>
            <a:effectLst>
              <a:glow rad="12700">
                <a:schemeClr val="accent1">
                  <a:alpha val="40000"/>
                </a:schemeClr>
              </a:glow>
            </a:effectLst>
          </c:spPr>
          <c:marker>
            <c:spPr>
              <a:solidFill>
                <a:schemeClr val="tx1"/>
              </a:solidFill>
              <a:ln>
                <a:noFill/>
              </a:ln>
            </c:spPr>
          </c:marker>
          <c:trendline>
            <c:spPr>
              <a:ln>
                <a:solidFill>
                  <a:srgbClr val="1E88E5"/>
                </a:solidFill>
              </a:ln>
            </c:spPr>
            <c:trendlineType val="linear"/>
            <c:dispRSqr val="0"/>
            <c:dispEq val="0"/>
          </c:trendline>
          <c:cat>
            <c:numRef>
              <c:f>Norway!$A$10:$A$30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Norway!$C$10:$C$30</c:f>
              <c:numCache>
                <c:formatCode>0.0</c:formatCode>
                <c:ptCount val="21"/>
                <c:pt idx="0">
                  <c:v>0.883977602127201</c:v>
                </c:pt>
                <c:pt idx="1">
                  <c:v>1.5351849649183886</c:v>
                </c:pt>
                <c:pt idx="2">
                  <c:v>1.7727939696173896</c:v>
                </c:pt>
                <c:pt idx="3">
                  <c:v>0.36133205495164211</c:v>
                </c:pt>
                <c:pt idx="4">
                  <c:v>-1.1486898365914266</c:v>
                </c:pt>
                <c:pt idx="5">
                  <c:v>-1.8629483252374046</c:v>
                </c:pt>
                <c:pt idx="6">
                  <c:v>-2.7564888532981362</c:v>
                </c:pt>
                <c:pt idx="7">
                  <c:v>-2.3033142923475887</c:v>
                </c:pt>
                <c:pt idx="8">
                  <c:v>-0.417697255247373</c:v>
                </c:pt>
                <c:pt idx="9">
                  <c:v>-1.1053266074086769</c:v>
                </c:pt>
                <c:pt idx="10">
                  <c:v>0.42230929418823027</c:v>
                </c:pt>
                <c:pt idx="11">
                  <c:v>-0.5727093567305197</c:v>
                </c:pt>
                <c:pt idx="12">
                  <c:v>0.31447368884451543</c:v>
                </c:pt>
                <c:pt idx="13">
                  <c:v>0.62113802772067483</c:v>
                </c:pt>
                <c:pt idx="14">
                  <c:v>-0.13350671231325217</c:v>
                </c:pt>
                <c:pt idx="15">
                  <c:v>1.2501673922943655</c:v>
                </c:pt>
                <c:pt idx="16">
                  <c:v>-1.0990913721408315</c:v>
                </c:pt>
                <c:pt idx="17">
                  <c:v>-0.76627134685702358</c:v>
                </c:pt>
                <c:pt idx="18">
                  <c:v>-0.77808139620642058</c:v>
                </c:pt>
                <c:pt idx="19">
                  <c:v>1.6635651718847324</c:v>
                </c:pt>
                <c:pt idx="20">
                  <c:v>0.99625385326069993</c:v>
                </c:pt>
              </c:numCache>
            </c:numRef>
          </c:val>
          <c:smooth val="0"/>
          <c:extLst>
            <c:ext xmlns:c16="http://schemas.microsoft.com/office/drawing/2014/chart" uri="{C3380CC4-5D6E-409C-BE32-E72D297353CC}">
              <c16:uniqueId val="{00000001-BDFC-400F-A29D-8858C533B877}"/>
            </c:ext>
          </c:extLst>
        </c:ser>
        <c:ser>
          <c:idx val="0"/>
          <c:order val="1"/>
          <c:tx>
            <c:strRef>
              <c:f>#REF!</c:f>
              <c:strCache>
                <c:ptCount val="1"/>
                <c:pt idx="0">
                  <c:v>#REF!</c:v>
                </c:pt>
              </c:strCache>
              <c:extLst xmlns:c15="http://schemas.microsoft.com/office/drawing/2012/chart"/>
            </c:strRef>
          </c:tx>
          <c:marker>
            <c:symbol val="none"/>
          </c:marker>
          <c:trendline>
            <c:name>trend</c:name>
            <c:spPr>
              <a:ln w="19050" cap="rnd">
                <a:solidFill>
                  <a:schemeClr val="accent2"/>
                </a:solidFill>
                <a:prstDash val="solid"/>
              </a:ln>
              <a:effectLst/>
            </c:spPr>
            <c:trendlineType val="linear"/>
            <c:dispRSqr val="0"/>
            <c:dispEq val="0"/>
          </c:trendline>
          <c:cat>
            <c:multiLvlStrRef>
              <c:f>#REF!</c:f>
            </c:multiLvlStrRef>
          </c:cat>
          <c:val>
            <c:numRef>
              <c:f>#REF!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BDFC-400F-A29D-8858C533B877}"/>
            </c:ext>
          </c:extLst>
        </c:ser>
        <c:dLbls>
          <c:showLegendKey val="0"/>
          <c:showVal val="0"/>
          <c:showCatName val="0"/>
          <c:showSerName val="0"/>
          <c:showPercent val="0"/>
          <c:showBubbleSize val="0"/>
        </c:dLbls>
        <c:marker val="1"/>
        <c:smooth val="0"/>
        <c:axId val="621288904"/>
        <c:axId val="621289560"/>
      </c:lineChart>
      <c:catAx>
        <c:axId val="621288904"/>
        <c:scaling>
          <c:orientation val="minMax"/>
        </c:scaling>
        <c:delete val="0"/>
        <c:axPos val="b"/>
        <c:title>
          <c:tx>
            <c:rich>
              <a:bodyPr/>
              <a:lstStyle/>
              <a:p>
                <a:pPr>
                  <a:defRPr/>
                </a:pPr>
                <a:r>
                  <a:rPr lang="en-IE"/>
                  <a:t>%</a:t>
                </a:r>
              </a:p>
            </c:rich>
          </c:tx>
          <c:layout>
            <c:manualLayout>
              <c:xMode val="edge"/>
              <c:yMode val="edge"/>
              <c:x val="1.22759859120979E-2"/>
              <c:y val="0.12602637241481543"/>
            </c:manualLayout>
          </c:layout>
          <c:overlay val="0"/>
        </c:title>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a:pPr>
            <a:endParaRPr lang="en-US"/>
          </a:p>
        </c:txPr>
        <c:crossAx val="621289560"/>
        <c:crosses val="autoZero"/>
        <c:auto val="1"/>
        <c:lblAlgn val="ctr"/>
        <c:lblOffset val="100"/>
        <c:tickMarkSkip val="1"/>
        <c:noMultiLvlLbl val="1"/>
      </c:catAx>
      <c:valAx>
        <c:axId val="621289560"/>
        <c:scaling>
          <c:orientation val="minMax"/>
        </c:scaling>
        <c:delete val="0"/>
        <c:axPos val="l"/>
        <c:numFmt formatCode="0.0" sourceLinked="0"/>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621288904"/>
        <c:crosses val="autoZero"/>
        <c:crossBetween val="between"/>
      </c:valAx>
    </c:plotArea>
    <c:legend>
      <c:legendPos val="r"/>
      <c:legendEntry>
        <c:idx val="0"/>
        <c:txPr>
          <a:bodyPr rot="0" vert="horz"/>
          <a:lstStyle/>
          <a:p>
            <a:pPr>
              <a:defRPr sz="1050"/>
            </a:pPr>
            <a:endParaRPr lang="en-US"/>
          </a:p>
        </c:txPr>
      </c:legendEntry>
      <c:legendEntry>
        <c:idx val="1"/>
        <c:delete val="1"/>
      </c:legendEntry>
      <c:legendEntry>
        <c:idx val="2"/>
        <c:delete val="1"/>
      </c:legendEntry>
      <c:layout>
        <c:manualLayout>
          <c:xMode val="edge"/>
          <c:yMode val="edge"/>
          <c:x val="0.24199451150610729"/>
          <c:y val="0.87110654009230148"/>
          <c:w val="0.50841969290215328"/>
          <c:h val="0.12889345990769852"/>
        </c:manualLayout>
      </c:layout>
      <c:overlay val="0"/>
      <c:spPr>
        <a:noFill/>
        <a:ln>
          <a:noFill/>
        </a:ln>
        <a:effectLst/>
      </c:spPr>
      <c:txPr>
        <a:bodyPr rot="0" vert="horz"/>
        <a:lstStyle/>
        <a:p>
          <a:pPr>
            <a:defRPr sz="1050"/>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r>
              <a:rPr lang="en-US" sz="1800" b="1" i="0" u="none" strike="noStrike" kern="1200" baseline="0">
                <a:solidFill>
                  <a:sysClr val="windowText" lastClr="000000"/>
                </a:solidFill>
                <a:latin typeface="Aptos" panose="020B0004020202020204" pitchFamily="34" charset="0"/>
                <a:ea typeface="+mn-ea"/>
                <a:cs typeface="+mn-cs"/>
              </a:rPr>
              <a:t>Contributions to growth of value added </a:t>
            </a:r>
          </a:p>
          <a:p>
            <a:pPr algn="ctr" rtl="0">
              <a:defRPr lang="en-US" sz="1800" b="1">
                <a:solidFill>
                  <a:sysClr val="windowText" lastClr="000000"/>
                </a:solidFill>
                <a:latin typeface="Aptos" panose="020B0004020202020204" pitchFamily="34" charset="0"/>
              </a:defRPr>
            </a:pPr>
            <a:r>
              <a:rPr lang="en-US" sz="1800" b="1" i="0" u="none" strike="noStrike" kern="1200" baseline="0">
                <a:solidFill>
                  <a:sysClr val="windowText" lastClr="000000"/>
                </a:solidFill>
                <a:latin typeface="Aptos" panose="020B0004020202020204" pitchFamily="34" charset="0"/>
                <a:ea typeface="+mn-ea"/>
                <a:cs typeface="+mn-cs"/>
              </a:rPr>
              <a:t>% change</a:t>
            </a:r>
          </a:p>
        </c:rich>
      </c:tx>
      <c:layout>
        <c:manualLayout>
          <c:xMode val="edge"/>
          <c:yMode val="edge"/>
          <c:x val="0.25933686349765656"/>
          <c:y val="2.08601727835518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7.5871936721111699E-2"/>
          <c:y val="0.21524596956980008"/>
          <c:w val="0.8771648978923654"/>
          <c:h val="0.52726381795735533"/>
        </c:manualLayout>
      </c:layout>
      <c:barChart>
        <c:barDir val="col"/>
        <c:grouping val="stacked"/>
        <c:varyColors val="0"/>
        <c:ser>
          <c:idx val="1"/>
          <c:order val="0"/>
          <c:tx>
            <c:v>Hours worked</c:v>
          </c:tx>
          <c:spPr>
            <a:solidFill>
              <a:srgbClr val="FFC107"/>
            </a:solidFill>
            <a:ln w="3175">
              <a:noFill/>
            </a:ln>
            <a:effectLst/>
          </c:spPr>
          <c:invertIfNegative val="0"/>
          <c:cat>
            <c:numRef>
              <c:f>Norway!$A$10:$A$30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Norway!$E$10:$E$30</c:f>
              <c:numCache>
                <c:formatCode>0.0</c:formatCode>
                <c:ptCount val="21"/>
                <c:pt idx="0">
                  <c:v>-0.4209800599044754</c:v>
                </c:pt>
                <c:pt idx="1">
                  <c:v>-1.2702562312987513</c:v>
                </c:pt>
                <c:pt idx="2">
                  <c:v>1.0292850551142794</c:v>
                </c:pt>
                <c:pt idx="3">
                  <c:v>0.80119636264049854</c:v>
                </c:pt>
                <c:pt idx="4">
                  <c:v>1.5343915668988382</c:v>
                </c:pt>
                <c:pt idx="5">
                  <c:v>2.3558751578683217</c:v>
                </c:pt>
                <c:pt idx="6">
                  <c:v>1.7665145473141701</c:v>
                </c:pt>
                <c:pt idx="7">
                  <c:v>-0.992457709212197</c:v>
                </c:pt>
                <c:pt idx="8">
                  <c:v>0.15027905781543191</c:v>
                </c:pt>
                <c:pt idx="9">
                  <c:v>0.94092788288630602</c:v>
                </c:pt>
                <c:pt idx="10">
                  <c:v>0.95840324703581392</c:v>
                </c:pt>
                <c:pt idx="11">
                  <c:v>0.21142175555951059</c:v>
                </c:pt>
                <c:pt idx="12">
                  <c:v>0.66962235167036022</c:v>
                </c:pt>
                <c:pt idx="13">
                  <c:v>0.3206916749686794</c:v>
                </c:pt>
                <c:pt idx="14">
                  <c:v>0.28545701272791163</c:v>
                </c:pt>
                <c:pt idx="15">
                  <c:v>0.22327006759367149</c:v>
                </c:pt>
                <c:pt idx="16">
                  <c:v>0.89782389317136135</c:v>
                </c:pt>
                <c:pt idx="17">
                  <c:v>0.85004068569120894</c:v>
                </c:pt>
                <c:pt idx="18">
                  <c:v>-1.297510607379069</c:v>
                </c:pt>
                <c:pt idx="19">
                  <c:v>1.258516064609968</c:v>
                </c:pt>
                <c:pt idx="20">
                  <c:v>1.552049033344683</c:v>
                </c:pt>
              </c:numCache>
            </c:numRef>
          </c:val>
          <c:extLst>
            <c:ext xmlns:c16="http://schemas.microsoft.com/office/drawing/2014/chart" uri="{C3380CC4-5D6E-409C-BE32-E72D297353CC}">
              <c16:uniqueId val="{00000000-40E8-4260-BCD5-50795930115B}"/>
            </c:ext>
          </c:extLst>
        </c:ser>
        <c:ser>
          <c:idx val="3"/>
          <c:order val="2"/>
          <c:tx>
            <c:v>Capital stock</c:v>
          </c:tx>
          <c:spPr>
            <a:solidFill>
              <a:srgbClr val="1E88E5"/>
            </a:solidFill>
            <a:ln>
              <a:noFill/>
            </a:ln>
            <a:effectLst/>
          </c:spPr>
          <c:invertIfNegative val="0"/>
          <c:cat>
            <c:numRef>
              <c:f>Norway!$A$10:$A$30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Norway!$F$10:$F$30</c:f>
              <c:numCache>
                <c:formatCode>0.0</c:formatCode>
                <c:ptCount val="21"/>
                <c:pt idx="0">
                  <c:v>0.58440839268960088</c:v>
                </c:pt>
                <c:pt idx="1">
                  <c:v>0.60399513384449599</c:v>
                </c:pt>
                <c:pt idx="2">
                  <c:v>0.91178565659055233</c:v>
                </c:pt>
                <c:pt idx="3">
                  <c:v>1.3345322383275844</c:v>
                </c:pt>
                <c:pt idx="4">
                  <c:v>1.6001367945195768</c:v>
                </c:pt>
                <c:pt idx="5">
                  <c:v>1.8967722081584</c:v>
                </c:pt>
                <c:pt idx="6">
                  <c:v>1.6882423209115935</c:v>
                </c:pt>
                <c:pt idx="7">
                  <c:v>1.1662905461467785</c:v>
                </c:pt>
                <c:pt idx="8">
                  <c:v>0.77446859638005783</c:v>
                </c:pt>
                <c:pt idx="9">
                  <c:v>0.9979420569427544</c:v>
                </c:pt>
                <c:pt idx="10">
                  <c:v>1.2175291311088241</c:v>
                </c:pt>
                <c:pt idx="11">
                  <c:v>1.3035817757688</c:v>
                </c:pt>
                <c:pt idx="12">
                  <c:v>1.0490144475226393</c:v>
                </c:pt>
                <c:pt idx="13">
                  <c:v>0.85106488714327333</c:v>
                </c:pt>
                <c:pt idx="14">
                  <c:v>0.87995404154670542</c:v>
                </c:pt>
                <c:pt idx="15">
                  <c:v>0.91011749933776076</c:v>
                </c:pt>
                <c:pt idx="16">
                  <c:v>0.9406778129036798</c:v>
                </c:pt>
                <c:pt idx="17">
                  <c:v>1.1437434798710933</c:v>
                </c:pt>
                <c:pt idx="18">
                  <c:v>0.82612320275057094</c:v>
                </c:pt>
                <c:pt idx="19">
                  <c:v>0.82679937252286795</c:v>
                </c:pt>
                <c:pt idx="20">
                  <c:v>0.97671523865852938</c:v>
                </c:pt>
              </c:numCache>
            </c:numRef>
          </c:val>
          <c:extLst>
            <c:ext xmlns:c16="http://schemas.microsoft.com/office/drawing/2014/chart" uri="{C3380CC4-5D6E-409C-BE32-E72D297353CC}">
              <c16:uniqueId val="{00000001-40E8-4260-BCD5-50795930115B}"/>
            </c:ext>
          </c:extLst>
        </c:ser>
        <c:ser>
          <c:idx val="0"/>
          <c:order val="3"/>
          <c:tx>
            <c:v>MFP</c:v>
          </c:tx>
          <c:spPr>
            <a:solidFill>
              <a:srgbClr val="D81B22"/>
            </a:solidFill>
            <a:ln>
              <a:noFill/>
            </a:ln>
            <a:effectLst/>
          </c:spPr>
          <c:invertIfNegative val="0"/>
          <c:cat>
            <c:numRef>
              <c:f>Norway!$A$10:$A$30</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Norway!$C$10:$C$30</c:f>
              <c:numCache>
                <c:formatCode>0.0</c:formatCode>
                <c:ptCount val="21"/>
                <c:pt idx="0">
                  <c:v>0.883977602127201</c:v>
                </c:pt>
                <c:pt idx="1">
                  <c:v>1.5351849649183886</c:v>
                </c:pt>
                <c:pt idx="2">
                  <c:v>1.7727939696173896</c:v>
                </c:pt>
                <c:pt idx="3">
                  <c:v>0.36133205495164211</c:v>
                </c:pt>
                <c:pt idx="4">
                  <c:v>-1.1486898365914266</c:v>
                </c:pt>
                <c:pt idx="5">
                  <c:v>-1.8629483252374046</c:v>
                </c:pt>
                <c:pt idx="6">
                  <c:v>-2.7564888532981362</c:v>
                </c:pt>
                <c:pt idx="7">
                  <c:v>-2.3033142923475887</c:v>
                </c:pt>
                <c:pt idx="8">
                  <c:v>-0.417697255247373</c:v>
                </c:pt>
                <c:pt idx="9">
                  <c:v>-1.1053266074086769</c:v>
                </c:pt>
                <c:pt idx="10">
                  <c:v>0.42230929418823027</c:v>
                </c:pt>
                <c:pt idx="11">
                  <c:v>-0.5727093567305197</c:v>
                </c:pt>
                <c:pt idx="12">
                  <c:v>0.31447368884451543</c:v>
                </c:pt>
                <c:pt idx="13">
                  <c:v>0.62113802772067483</c:v>
                </c:pt>
                <c:pt idx="14">
                  <c:v>-0.13350671231325217</c:v>
                </c:pt>
                <c:pt idx="15">
                  <c:v>1.2501673922943655</c:v>
                </c:pt>
                <c:pt idx="16">
                  <c:v>-1.0990913721408315</c:v>
                </c:pt>
                <c:pt idx="17">
                  <c:v>-0.76627134685702358</c:v>
                </c:pt>
                <c:pt idx="18">
                  <c:v>-0.77808139620642058</c:v>
                </c:pt>
                <c:pt idx="19">
                  <c:v>1.6635651718847324</c:v>
                </c:pt>
                <c:pt idx="20">
                  <c:v>0.99625385326069993</c:v>
                </c:pt>
              </c:numCache>
            </c:numRef>
          </c:val>
          <c:extLst>
            <c:ext xmlns:c16="http://schemas.microsoft.com/office/drawing/2014/chart" uri="{C3380CC4-5D6E-409C-BE32-E72D297353CC}">
              <c16:uniqueId val="{00000002-40E8-4260-BCD5-50795930115B}"/>
            </c:ext>
          </c:extLst>
        </c:ser>
        <c:dLbls>
          <c:showLegendKey val="0"/>
          <c:showVal val="0"/>
          <c:showCatName val="0"/>
          <c:showSerName val="0"/>
          <c:showPercent val="0"/>
          <c:showBubbleSize val="0"/>
        </c:dLbls>
        <c:gapWidth val="150"/>
        <c:overlap val="100"/>
        <c:axId val="606759184"/>
        <c:axId val="606761808"/>
      </c:barChart>
      <c:lineChart>
        <c:grouping val="standard"/>
        <c:varyColors val="0"/>
        <c:ser>
          <c:idx val="2"/>
          <c:order val="1"/>
          <c:tx>
            <c:v>Value added</c:v>
          </c:tx>
          <c:spPr>
            <a:ln w="19050" cap="rnd">
              <a:solidFill>
                <a:schemeClr val="tx1"/>
              </a:solidFill>
              <a:round/>
            </a:ln>
            <a:effectLst/>
          </c:spPr>
          <c:marker>
            <c:symbol val="none"/>
          </c:marker>
          <c:cat>
            <c:multiLvlStrRef>
              <c:f>#REF!</c:f>
              <c:extLst xmlns:c15="http://schemas.microsoft.com/office/drawing/2012/chart"/>
            </c:multiLvlStrRef>
          </c:cat>
          <c:val>
            <c:numRef>
              <c:f>Norway!$D$10:$D$30</c:f>
              <c:numCache>
                <c:formatCode>0.0</c:formatCode>
                <c:ptCount val="21"/>
                <c:pt idx="0">
                  <c:v>1.0474059349123266</c:v>
                </c:pt>
                <c:pt idx="1">
                  <c:v>0.86892386746413308</c:v>
                </c:pt>
                <c:pt idx="2">
                  <c:v>3.7138646813222209</c:v>
                </c:pt>
                <c:pt idx="3">
                  <c:v>2.497060655919725</c:v>
                </c:pt>
                <c:pt idx="4">
                  <c:v>1.9858385248269883</c:v>
                </c:pt>
                <c:pt idx="5">
                  <c:v>2.3896990407893171</c:v>
                </c:pt>
                <c:pt idx="6">
                  <c:v>0.69826801492762769</c:v>
                </c:pt>
                <c:pt idx="7">
                  <c:v>-2.129481455413007</c:v>
                </c:pt>
                <c:pt idx="8">
                  <c:v>0.50705039894811677</c:v>
                </c:pt>
                <c:pt idx="9">
                  <c:v>0.83354333242038336</c:v>
                </c:pt>
                <c:pt idx="10">
                  <c:v>2.5982416723328683</c:v>
                </c:pt>
                <c:pt idx="11">
                  <c:v>0.94229417459779086</c:v>
                </c:pt>
                <c:pt idx="12">
                  <c:v>2.033110488037515</c:v>
                </c:pt>
                <c:pt idx="13">
                  <c:v>1.7928945898326276</c:v>
                </c:pt>
                <c:pt idx="14">
                  <c:v>1.0319043419613649</c:v>
                </c:pt>
                <c:pt idx="15">
                  <c:v>2.3835549592257976</c:v>
                </c:pt>
                <c:pt idx="16">
                  <c:v>0.73941033393420952</c:v>
                </c:pt>
                <c:pt idx="17">
                  <c:v>1.2275128187052786</c:v>
                </c:pt>
                <c:pt idx="18">
                  <c:v>-1.2494688008349186</c:v>
                </c:pt>
                <c:pt idx="19">
                  <c:v>3.7488806090175686</c:v>
                </c:pt>
                <c:pt idx="20">
                  <c:v>3.5250181252639123</c:v>
                </c:pt>
              </c:numCache>
            </c:numRef>
          </c:val>
          <c:smooth val="0"/>
          <c:extLst>
            <c:ext xmlns:c16="http://schemas.microsoft.com/office/drawing/2014/chart" uri="{C3380CC4-5D6E-409C-BE32-E72D297353CC}">
              <c16:uniqueId val="{00000003-40E8-4260-BCD5-50795930115B}"/>
            </c:ext>
          </c:extLst>
        </c:ser>
        <c:dLbls>
          <c:showLegendKey val="0"/>
          <c:showVal val="0"/>
          <c:showCatName val="0"/>
          <c:showSerName val="0"/>
          <c:showPercent val="0"/>
          <c:showBubbleSize val="0"/>
        </c:dLbls>
        <c:marker val="1"/>
        <c:smooth val="0"/>
        <c:axId val="606759184"/>
        <c:axId val="606761808"/>
      </c:lineChart>
      <c:catAx>
        <c:axId val="606759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06761808"/>
        <c:crosses val="autoZero"/>
        <c:auto val="1"/>
        <c:lblAlgn val="ctr"/>
        <c:lblOffset val="100"/>
        <c:noMultiLvlLbl val="0"/>
      </c:catAx>
      <c:valAx>
        <c:axId val="606761808"/>
        <c:scaling>
          <c:orientation val="minMax"/>
        </c:scaling>
        <c:delete val="0"/>
        <c:axPos val="l"/>
        <c:title>
          <c:tx>
            <c:rich>
              <a:bodyPr rot="0" spcFirstLastPara="1" vertOverflow="ellipsis" wrap="square" anchor="ctr" anchorCtr="1"/>
              <a:lstStyle/>
              <a:p>
                <a:pPr>
                  <a:defRPr sz="1000" b="0" i="0" u="none" strike="noStrike" kern="1200" baseline="0">
                    <a:solidFill>
                      <a:schemeClr val="tx1"/>
                    </a:solidFill>
                    <a:latin typeface="+mn-lt"/>
                    <a:ea typeface="+mn-ea"/>
                    <a:cs typeface="+mn-cs"/>
                  </a:defRPr>
                </a:pPr>
                <a:r>
                  <a:rPr lang="en-IE">
                    <a:solidFill>
                      <a:schemeClr val="tx1"/>
                    </a:solidFill>
                  </a:rPr>
                  <a:t>%</a:t>
                </a:r>
              </a:p>
            </c:rich>
          </c:tx>
          <c:layout>
            <c:manualLayout>
              <c:xMode val="edge"/>
              <c:yMode val="edge"/>
              <c:x val="5.0478011472275333E-2"/>
              <c:y val="0.1508220169609714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6759184"/>
        <c:crosses val="autoZero"/>
        <c:crossBetween val="between"/>
      </c:valAx>
      <c:spPr>
        <a:noFill/>
        <a:ln>
          <a:noFill/>
        </a:ln>
        <a:effectLst/>
      </c:spPr>
    </c:plotArea>
    <c:legend>
      <c:legendPos val="b"/>
      <c:layout>
        <c:manualLayout>
          <c:xMode val="edge"/>
          <c:yMode val="edge"/>
          <c:x val="0.1690068464507187"/>
          <c:y val="0.84656276680655329"/>
          <c:w val="0.66262272474066941"/>
          <c:h val="0.13115302841430337"/>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chart" Target="../charts/chart44.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7.xml"/><Relationship Id="rId1" Type="http://schemas.openxmlformats.org/officeDocument/2006/relationships/chart" Target="../charts/chart46.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49.xml"/><Relationship Id="rId1" Type="http://schemas.openxmlformats.org/officeDocument/2006/relationships/chart" Target="../charts/chart48.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chart" Target="../charts/chart50.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53.xml"/><Relationship Id="rId1" Type="http://schemas.openxmlformats.org/officeDocument/2006/relationships/chart" Target="../charts/chart52.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55.xml"/><Relationship Id="rId1" Type="http://schemas.openxmlformats.org/officeDocument/2006/relationships/chart" Target="../charts/chart54.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57.xml"/><Relationship Id="rId1" Type="http://schemas.openxmlformats.org/officeDocument/2006/relationships/chart" Target="../charts/chart56.xml"/></Relationships>
</file>

<file path=xl/drawings/_rels/drawing30.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61.xml"/><Relationship Id="rId1" Type="http://schemas.openxmlformats.org/officeDocument/2006/relationships/chart" Target="../charts/chart60.xml"/></Relationships>
</file>

<file path=xl/drawings/_rels/drawing32.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0</xdr:row>
      <xdr:rowOff>44450</xdr:rowOff>
    </xdr:from>
    <xdr:to>
      <xdr:col>0</xdr:col>
      <xdr:colOff>1104901</xdr:colOff>
      <xdr:row>0</xdr:row>
      <xdr:rowOff>512590</xdr:rowOff>
    </xdr:to>
    <xdr:pic>
      <xdr:nvPicPr>
        <xdr:cNvPr id="2" name="Picture 1">
          <a:extLst>
            <a:ext uri="{FF2B5EF4-FFF2-40B4-BE49-F238E27FC236}">
              <a16:creationId xmlns:a16="http://schemas.microsoft.com/office/drawing/2014/main" id="{DBB56DF6-3ED1-4BFE-856F-F81273A852A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01" y="44450"/>
          <a:ext cx="1054100" cy="468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9071</xdr:colOff>
      <xdr:row>1</xdr:row>
      <xdr:rowOff>2122715</xdr:rowOff>
    </xdr:from>
    <xdr:to>
      <xdr:col>9</xdr:col>
      <xdr:colOff>598715</xdr:colOff>
      <xdr:row>3</xdr:row>
      <xdr:rowOff>1</xdr:rowOff>
    </xdr:to>
    <xdr:graphicFrame macro="">
      <xdr:nvGraphicFramePr>
        <xdr:cNvPr id="2" name="Chart 1">
          <a:extLst>
            <a:ext uri="{FF2B5EF4-FFF2-40B4-BE49-F238E27FC236}">
              <a16:creationId xmlns:a16="http://schemas.microsoft.com/office/drawing/2014/main" id="{C703DCD5-2792-458A-9B21-E3FD32C3D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18142</xdr:colOff>
      <xdr:row>6</xdr:row>
      <xdr:rowOff>13606</xdr:rowOff>
    </xdr:from>
    <xdr:to>
      <xdr:col>9</xdr:col>
      <xdr:colOff>68036</xdr:colOff>
      <xdr:row>8</xdr:row>
      <xdr:rowOff>13606</xdr:rowOff>
    </xdr:to>
    <xdr:graphicFrame macro="">
      <xdr:nvGraphicFramePr>
        <xdr:cNvPr id="3" name="Chart 2">
          <a:extLst>
            <a:ext uri="{FF2B5EF4-FFF2-40B4-BE49-F238E27FC236}">
              <a16:creationId xmlns:a16="http://schemas.microsoft.com/office/drawing/2014/main" id="{D000A13D-2771-462D-8416-25ABAC1E3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2960459</xdr:colOff>
      <xdr:row>4</xdr:row>
      <xdr:rowOff>13607</xdr:rowOff>
    </xdr:from>
    <xdr:to>
      <xdr:col>10</xdr:col>
      <xdr:colOff>27214</xdr:colOff>
      <xdr:row>5</xdr:row>
      <xdr:rowOff>53071</xdr:rowOff>
    </xdr:to>
    <xdr:graphicFrame macro="">
      <xdr:nvGraphicFramePr>
        <xdr:cNvPr id="4" name="Chart 3">
          <a:extLst>
            <a:ext uri="{FF2B5EF4-FFF2-40B4-BE49-F238E27FC236}">
              <a16:creationId xmlns:a16="http://schemas.microsoft.com/office/drawing/2014/main" id="{B2E77E6D-4F67-4724-A079-9FB2DCAF2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D18CC6B1-F8B9-4227-BE4D-39587648FC6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14EB2343-5C32-43E6-9E98-146899029DBE}"/>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AF6F823E-378C-4B7D-A06A-AE472EF3FDD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AB6641EB-8661-46FB-838C-B93A1F516E1D}"/>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95FC8A83-5D75-4FE1-B49F-957CB92E1BA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146050</xdr:colOff>
      <xdr:row>4</xdr:row>
      <xdr:rowOff>37968</xdr:rowOff>
    </xdr:from>
    <xdr:to>
      <xdr:col>10</xdr:col>
      <xdr:colOff>757766</xdr:colOff>
      <xdr:row>6</xdr:row>
      <xdr:rowOff>157734</xdr:rowOff>
    </xdr:to>
    <xdr:graphicFrame macro="">
      <xdr:nvGraphicFramePr>
        <xdr:cNvPr id="3" name="Chart 3">
          <a:extLst>
            <a:ext uri="{FF2B5EF4-FFF2-40B4-BE49-F238E27FC236}">
              <a16:creationId xmlns:a16="http://schemas.microsoft.com/office/drawing/2014/main" id="{738777B7-6077-4FB0-8FBB-65FDEDB0F48A}"/>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D3B7EF46-3980-4E4F-8648-84A7C799788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94DFE70A-F668-4D92-8689-6B398CDBC166}"/>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4BC07CBE-CF67-4E08-8C36-8227BC4F7AB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B8A80C48-1643-4B5B-9845-6F88BC47F24F}"/>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9600C25D-D55D-464F-B506-5E828B141FE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12A4CBFC-F904-4A40-B914-D060A4CF0470}"/>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28878568-2F48-4DDF-ABAE-F49F92C8B05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10730F38-CA45-4185-BCCA-FA470E548D8F}"/>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7D7FC221-5AA5-4A83-A64A-CF393FB6A00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67E6FC57-5EB4-4163-851D-E061F1D13A35}"/>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723D832A-7393-4C47-B319-2562C37268A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7D111EEC-89F1-4AC0-B3CB-E863EB58005D}"/>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C298FAE4-83CC-4DCE-B4CE-4C0CB36BACF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DFC3F764-B01D-45AE-AE51-F7B6A9784DA4}"/>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5837BB40-3F4C-47BA-857E-8FB5A46B289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A6F2F33F-6E08-4206-97B9-230C7396ECDE}"/>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C4A21FBF-43E2-4957-8530-AB57296C2E5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9C2AA3D3-83B7-40EB-8505-9D047ADD4EC9}"/>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7B5B5B79-70FA-462F-89E3-51E3F576C0B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462F0FD6-C678-404F-96F4-6516AC5F5992}"/>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A4A5784B-10F5-4F2D-89C0-5F6C2186222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27A6A79C-C06F-4245-963D-F2E0E884484F}"/>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1A594506-EEAE-49B8-8E61-51C6426353C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8EE4B9CC-C4D7-4857-A2EC-8CF855F8345F}"/>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5C744D79-53DF-4E5E-B870-B05C20BF670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9FB947B3-1F74-43B2-8919-D9E678417155}"/>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994932A8-C0E5-4454-AFF9-08287E34080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94959660-AEEE-4104-89DE-904179AEADBB}"/>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4D62EE90-5F19-49EC-9E9F-A008FF27379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CE942208-484F-4D21-868A-747A8885D0C3}"/>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DFAA71D4-DE11-44E6-9CB4-A3047BDBE6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5BEA13F8-F7D1-4366-93F8-62B59AFFAAB9}"/>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330B5C86-9862-489B-A238-0B7A0372B28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BB20C966-BA66-4ECE-8D62-74FAE6C29C77}"/>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EA0B4EDF-4C80-4053-9255-2BC77920107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122C361D-A052-4765-8EEB-6C7242003A7C}"/>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71ED7261-C910-4E81-8380-DFCAD22200C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B1E35B8D-BF83-4553-AD66-B7B52C75A49C}"/>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5B24DF42-A6E2-4A39-8BD7-824D6E39EDD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40C829B8-1A12-4FF4-BC76-56C8F967394A}"/>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08ADB542-C5CF-4C32-8594-FE0A555A98A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DF6A7808-312E-4A9A-A3E2-D15BA56EE72D}"/>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2811EAAF-CD98-48DD-892E-A40A088BFA9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5D5BF8CE-FD6E-4D0C-B80B-4980490C25E3}"/>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9E3BC10E-CA09-4944-BF5E-A02CF098067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49DBE785-1642-4C2F-B88E-0C89DFD5E98F}"/>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6B49E8DC-0B54-405C-83D9-E72E6ED79AA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7E245B50-0999-4C30-B129-A096995CC686}"/>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355B2AE6-71E4-47A8-BA9D-83E70833F3B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0B0F06E2-D3F3-443B-8681-FD95EE3CAC20}"/>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E5731832-C84F-4A8C-AC67-0522B0D8163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C7AABC18-BC10-4021-BBEF-BA183833C663}"/>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154517</xdr:colOff>
      <xdr:row>2</xdr:row>
      <xdr:rowOff>6559</xdr:rowOff>
    </xdr:from>
    <xdr:to>
      <xdr:col>10</xdr:col>
      <xdr:colOff>717550</xdr:colOff>
      <xdr:row>3</xdr:row>
      <xdr:rowOff>275493</xdr:rowOff>
    </xdr:to>
    <xdr:graphicFrame macro="">
      <xdr:nvGraphicFramePr>
        <xdr:cNvPr id="2" name="Chart 1">
          <a:extLst>
            <a:ext uri="{FF2B5EF4-FFF2-40B4-BE49-F238E27FC236}">
              <a16:creationId xmlns:a16="http://schemas.microsoft.com/office/drawing/2014/main" id="{6E7B52DA-534A-49F8-B26B-3513E4874A6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4</xdr:row>
      <xdr:rowOff>9393</xdr:rowOff>
    </xdr:from>
    <xdr:to>
      <xdr:col>10</xdr:col>
      <xdr:colOff>783166</xdr:colOff>
      <xdr:row>6</xdr:row>
      <xdr:rowOff>129159</xdr:rowOff>
    </xdr:to>
    <xdr:graphicFrame macro="">
      <xdr:nvGraphicFramePr>
        <xdr:cNvPr id="3" name="Chart 3">
          <a:extLst>
            <a:ext uri="{FF2B5EF4-FFF2-40B4-BE49-F238E27FC236}">
              <a16:creationId xmlns:a16="http://schemas.microsoft.com/office/drawing/2014/main" id="{F604B604-0403-4237-A1A3-D25FC01CB3FD}"/>
            </a:ext>
            <a:ext uri="{147F2762-F138-4A5C-976F-8EAC2B608ADB}">
              <a16:predDERef xmlns:a16="http://schemas.microsoft.com/office/drawing/2014/main" pred="{B9CD9DAA-F750-4824-B97A-A035785A0E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59923-36C2-4915-BC2C-9BB5E9913B05}" name="MFP_52" displayName="MFP_52" ref="A8:R30" totalsRowShown="0" headerRowDxfId="629" dataDxfId="628" tableBorderDxfId="627">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3D82CB6C-DAB8-4EA6-9465-B88E2C477EA5}" name="Year" dataDxfId="626">
      <calculatedColumnFormula>A8+1</calculatedColumnFormula>
    </tableColumn>
    <tableColumn id="2" xr3:uid="{7E282096-B67F-4B4F-B1CB-AC5C4DF50519}" name="MFP index (2020=1)" dataDxfId="625"/>
    <tableColumn id="3" xr3:uid="{8FFB580B-5D36-442F-BFB9-4AC11731A88B}" name="MFP growth contribution (note 1)" dataDxfId="624"/>
    <tableColumn id="4" xr3:uid="{76741384-45E1-4A11-AF8F-A62CE1417A4A}" name="Value added growth rates (ln), in % (note 1)" dataDxfId="623"/>
    <tableColumn id="5" xr3:uid="{A66265D2-B5DB-47AC-B4D4-19D67A1573C6}" name="Hours worked growth contribution (note 1)" dataDxfId="622"/>
    <tableColumn id="6" xr3:uid="{8990CB4B-3936-410E-B3D3-BE74B264971E}" name="Capital stock (net) growth contribution (note 1)" dataDxfId="621"/>
    <tableColumn id="11" xr3:uid="{495088D5-D6DE-4019-9534-FF28FD06C232}" name="Hours worked growth rates (ln), in % (note 4)" dataDxfId="620">
      <calculatedColumnFormula>(LN(H43)-LN(H42))*100</calculatedColumnFormula>
    </tableColumn>
    <tableColumn id="12" xr3:uid="{B5D836A0-149F-4921-88F8-63BDD11C1F8A}" name="Capital stock (net) growth rates (ln), in %  (note 4)" dataDxfId="619">
      <calculatedColumnFormula>(LN(J43)-LN(J42))*100</calculatedColumnFormula>
    </tableColumn>
    <tableColumn id="7" xr3:uid="{A7D6109E-CBF1-4939-925E-FD088417383D}" name="Divisia labour income shares (note 3)" dataDxfId="618">
      <calculatedColumnFormula>(K9+K8)/2</calculatedColumnFormula>
    </tableColumn>
    <tableColumn id="8" xr3:uid="{72E96852-3A03-4884-9857-65980BB8EE65}" name="Divisia capital  income shares (note 3)" dataDxfId="617">
      <calculatedColumnFormula>(L9+L8)/2</calculatedColumnFormula>
    </tableColumn>
    <tableColumn id="9" xr3:uid="{143DEDA0-34F3-49F2-83CA-367F19236060}" name="Labour income shares (note 2)" dataDxfId="616">
      <calculatedColumnFormula>O9*(P9/Q9)/M9</calculatedColumnFormula>
    </tableColumn>
    <tableColumn id="10" xr3:uid="{8890E7C2-4B92-4192-B281-8B3605D2FC2A}" name="Capital income shares" dataDxfId="615">
      <calculatedColumnFormula>1-K9</calculatedColumnFormula>
    </tableColumn>
    <tableColumn id="13" xr3:uid="{BFD92F40-4FB1-4A20-AA86-D2B9B2EA3EC1}" name="Value added - Current prices " dataDxfId="614" dataCellStyle="Normal 2 2"/>
    <tableColumn id="14" xr3:uid="{1730C3B5-BE65-4026-B94A-9DD4A383D9FF}" name="Value added - Chain linked volumes, 2020" dataDxfId="613" dataCellStyle="Normal 2 2"/>
    <tableColumn id="15" xr3:uid="{CE4BCC0C-1D39-4ED8-952B-EC641522E551}" name="Compensation of employees" dataDxfId="612" dataCellStyle="Normal 2 2"/>
    <tableColumn id="16" xr3:uid="{1B340F64-9F9C-46B0-9E95-6E6266CD86F6}" name="Hours worked - total employment" dataDxfId="611" dataCellStyle="Normal 2 2"/>
    <tableColumn id="17" xr3:uid="{EB4D5E30-59BF-4DAB-9C79-B924AB32D953}" name="Hours worked employees" dataDxfId="610" dataCellStyle="Normal 2 2"/>
    <tableColumn id="18" xr3:uid="{68734C52-E5F8-41A2-A601-D58118036B90}" name="Capital stock (net) - Chain linked volumes, 2020" dataDxfId="609" dataCellStyle="Normal 2 2"/>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DDAE21-84A0-410F-9761-EF27CE931EEA}" name="MFP_5232" displayName="MFP_5232" ref="A8:R30" totalsRowShown="0" headerRowDxfId="608" dataDxfId="607" tableBorderDxfId="606">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9B253574-9235-4D9A-970E-CBF980EC05E9}" name="Year" dataDxfId="605">
      <calculatedColumnFormula>A8+1</calculatedColumnFormula>
    </tableColumn>
    <tableColumn id="2" xr3:uid="{7914FB10-AF8F-437D-B80F-914CE5C6BA70}" name="MFP index (2020=1)" dataDxfId="604"/>
    <tableColumn id="3" xr3:uid="{B4552E31-3E0A-4914-9135-34CF85EAEAF5}" name="MFP growth contribution (note 1)" dataDxfId="603"/>
    <tableColumn id="4" xr3:uid="{958C22E4-0F5B-442F-BBA8-5D8F8EB04F0A}" name="Value added growth rates (ln), in % (note 1)" dataDxfId="602"/>
    <tableColumn id="5" xr3:uid="{875C3A3D-423E-4527-A10A-A78CD8598D12}" name="Hours worked growth contribution (note 1)" dataDxfId="601"/>
    <tableColumn id="6" xr3:uid="{BBB7F8F4-2510-4931-BEF5-1AA5CF84F1E3}" name="Capital stock (net) growth contribution (note 1)" dataDxfId="600"/>
    <tableColumn id="11" xr3:uid="{7022F542-7BB4-43C9-8550-CD5CDB9359BE}" name="Hours worked growth rates (ln), in % (note 4)" dataDxfId="599">
      <calculatedColumnFormula>(LN(H43)-LN(H42))*100</calculatedColumnFormula>
    </tableColumn>
    <tableColumn id="12" xr3:uid="{16587053-E435-4B8B-9EA4-E328B393750C}" name="Capital stock (net) growth rates (ln), in %  (note 4)" dataDxfId="598">
      <calculatedColumnFormula>(LN(J43)-LN(J42))*100</calculatedColumnFormula>
    </tableColumn>
    <tableColumn id="7" xr3:uid="{4C9393C0-3A4D-46F3-99B1-8C4734CD35E2}" name="Divisia labour income shares (note 3)" dataDxfId="597">
      <calculatedColumnFormula>(K9+K8)/2</calculatedColumnFormula>
    </tableColumn>
    <tableColumn id="8" xr3:uid="{89D32453-8664-41F0-ADD9-AA19A69A4BB2}" name="Divisia capital  income shares (note 3)" dataDxfId="596">
      <calculatedColumnFormula>(L9+L8)/2</calculatedColumnFormula>
    </tableColumn>
    <tableColumn id="9" xr3:uid="{4F061058-7C2C-4C76-9B80-EABC260F6524}" name="Labour income shares (note 2)" dataDxfId="595">
      <calculatedColumnFormula>O9*(P9/Q9)/M9</calculatedColumnFormula>
    </tableColumn>
    <tableColumn id="10" xr3:uid="{880FE2EA-C6B9-4734-8C15-3A70A21794F6}" name="Capital income shares" dataDxfId="594">
      <calculatedColumnFormula>1-K9</calculatedColumnFormula>
    </tableColumn>
    <tableColumn id="13" xr3:uid="{7E87793C-9EF4-4326-94C6-D0ACA61EA14E}" name="Value added - Current prices " dataDxfId="593" dataCellStyle="Normal 2 2"/>
    <tableColumn id="14" xr3:uid="{459C3A3F-84F8-49A8-8BFE-6BACCA7AABDF}" name="Value added - Chain linked volumes, 2020" dataDxfId="592" dataCellStyle="Normal 2 2"/>
    <tableColumn id="15" xr3:uid="{05049F13-1E6B-44BB-A7C9-8400F73EC2CB}" name="Compensation of employees" dataDxfId="591" dataCellStyle="Normal 2 2"/>
    <tableColumn id="16" xr3:uid="{A5CAB26A-5D0A-451F-9C54-405555AD97E5}" name="Hours worked - total employment" dataDxfId="590" dataCellStyle="Normal 2 2"/>
    <tableColumn id="17" xr3:uid="{6A2878C9-1790-4D48-A869-AC58FB79D9A4}" name="Hours worked employees" dataDxfId="589" dataCellStyle="Normal 2 2"/>
    <tableColumn id="18" xr3:uid="{C5BB7CDD-52A3-42D1-A9F4-76B248129E60}" name="Capital stock (net) - Chain linked volumes, 2020" dataDxfId="588" dataCellStyle="Normal 2 2"/>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EE7463-C436-47DE-9DAA-87E34B9F9210}" name="MFP_52323" displayName="MFP_52323" ref="A8:R30" totalsRowShown="0" headerRowDxfId="587" dataDxfId="586" tableBorderDxfId="585">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D59BD74-637F-477C-8E17-2B15A8174C16}" name="Year" dataDxfId="584">
      <calculatedColumnFormula>A8+1</calculatedColumnFormula>
    </tableColumn>
    <tableColumn id="2" xr3:uid="{AEEF0892-1B20-458D-8D58-1A7C445A24F0}" name="MFP index (2020=1)" dataDxfId="583"/>
    <tableColumn id="3" xr3:uid="{67D8BE67-91C0-4FFF-A2EC-B223582036AF}" name="MFP growth contribution (note 1)" dataDxfId="582"/>
    <tableColumn id="4" xr3:uid="{F0DC64DB-AC7B-4409-9CCA-B59587541524}" name="Value added growth rates (ln), in % (note 1)" dataDxfId="581"/>
    <tableColumn id="5" xr3:uid="{4B51AD76-56E1-4C75-BC7B-048CF1634B09}" name="Hours worked growth contribution (note 1)" dataDxfId="580"/>
    <tableColumn id="6" xr3:uid="{E6DA3A57-1B8A-4ABD-99D4-42C3C13456D5}" name="Capital stock (net) growth contribution (note 1)" dataDxfId="579"/>
    <tableColumn id="11" xr3:uid="{D1BF399A-06A3-4DA0-8F57-1893B18952DC}" name="Hours worked growth rates (ln), in % (note 4)" dataDxfId="578">
      <calculatedColumnFormula>(LN(H43)-LN(H42))*100</calculatedColumnFormula>
    </tableColumn>
    <tableColumn id="12" xr3:uid="{8FA1E536-BF3E-4BA5-9FF7-71987ABE560C}" name="Capital stock (net) growth rates (ln), in %  (note 4)" dataDxfId="577">
      <calculatedColumnFormula>(LN(J43)-LN(J42))*100</calculatedColumnFormula>
    </tableColumn>
    <tableColumn id="7" xr3:uid="{1F864D8F-9764-4A16-97DE-994DDBEB099F}" name="Divisia labour income shares (note 3)" dataDxfId="576">
      <calculatedColumnFormula>(K9+K8)/2</calculatedColumnFormula>
    </tableColumn>
    <tableColumn id="8" xr3:uid="{1BF3AD79-6A15-4776-9573-FF93EFBF21C9}" name="Divisia capital  income shares (note 3)" dataDxfId="575">
      <calculatedColumnFormula>(L9+L8)/2</calculatedColumnFormula>
    </tableColumn>
    <tableColumn id="9" xr3:uid="{B5EA6320-BDDE-488C-BBDA-622ACDC1358D}" name="Labour income shares (note 2)" dataDxfId="574">
      <calculatedColumnFormula>O9*(P9/Q9)/M9</calculatedColumnFormula>
    </tableColumn>
    <tableColumn id="10" xr3:uid="{63549A7B-63EF-4DAD-8175-3B1D70E62D8E}" name="Capital income shares" dataDxfId="573">
      <calculatedColumnFormula>1-K9</calculatedColumnFormula>
    </tableColumn>
    <tableColumn id="13" xr3:uid="{81B3D85B-62E6-48DB-9687-107E321C2DCF}" name="Value added - Current prices " dataDxfId="572" dataCellStyle="Normal 2 2"/>
    <tableColumn id="14" xr3:uid="{24FD9404-C218-4A3E-9494-460490BAF1E1}" name="Value added - Chain linked volumes, 2020" dataDxfId="571" dataCellStyle="Normal 2 2"/>
    <tableColumn id="15" xr3:uid="{106B8EB8-ECC5-4C3D-86A1-4658C95A51CD}" name="Compensation of employees" dataDxfId="570" dataCellStyle="Normal 2 2"/>
    <tableColumn id="16" xr3:uid="{EEBDE007-160D-405A-BF63-FA1414787BA3}" name="Hours worked - total employment" dataDxfId="569" dataCellStyle="Normal 2 2"/>
    <tableColumn id="17" xr3:uid="{039AF953-D523-4818-8D4F-FCDC8AF3DB88}" name="Hours worked employees" dataDxfId="568" dataCellStyle="Normal 2 2"/>
    <tableColumn id="18" xr3:uid="{B2A055CC-AD81-4EEC-9FAE-C946B0548039}" name="Capital stock (net) - Chain linked volumes, 2020" dataDxfId="567" dataCellStyle="Normal 2 2"/>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DDDD97-83DA-4771-9B18-8773D0A9E016}" name="MFP_52324" displayName="MFP_52324" ref="A8:R30" totalsRowShown="0" headerRowDxfId="566" dataDxfId="565" tableBorderDxfId="564">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6A9DCE5-07A2-42F8-BC8B-5F130077BF6F}" name="Year" dataDxfId="563">
      <calculatedColumnFormula>A8+1</calculatedColumnFormula>
    </tableColumn>
    <tableColumn id="2" xr3:uid="{9D9E19EB-E0FE-4A8E-91A7-F1080CE3A2BF}" name="MFP index (2020=1)" dataDxfId="562"/>
    <tableColumn id="3" xr3:uid="{4158FC4E-7D89-4949-8B67-C9C9070A1089}" name="MFP growth contribution (note 1)" dataDxfId="561"/>
    <tableColumn id="4" xr3:uid="{F54B63C0-1474-4574-974B-2BDDB7BCF6FC}" name="Value added growth rates (ln), in % (note 1)" dataDxfId="560"/>
    <tableColumn id="5" xr3:uid="{8257476D-12CB-4B6F-BFB0-05B39DA126F5}" name="Hours worked growth contribution (note 1)" dataDxfId="559"/>
    <tableColumn id="6" xr3:uid="{E7E17F4A-49C7-4492-930F-BDAF07D9CA09}" name="Capital stock (net) growth contribution (note 1)" dataDxfId="558"/>
    <tableColumn id="11" xr3:uid="{CA920B8B-8C1C-4F86-A143-6D08A5AE48B8}" name="Hours worked growth rates (ln), in % (note 4)" dataDxfId="557">
      <calculatedColumnFormula>(LN(H43)-LN(H42))*100</calculatedColumnFormula>
    </tableColumn>
    <tableColumn id="12" xr3:uid="{3C36E72B-9A19-48AF-A037-A15BFE8BBDAF}" name="Capital stock (net) growth rates (ln), in %  (note 4)" dataDxfId="556">
      <calculatedColumnFormula>(LN(J43)-LN(J42))*100</calculatedColumnFormula>
    </tableColumn>
    <tableColumn id="7" xr3:uid="{446FD613-2289-4C02-831A-259F1CF66295}" name="Divisia labour income shares (note 3)" dataDxfId="555">
      <calculatedColumnFormula>(K9+K8)/2</calculatedColumnFormula>
    </tableColumn>
    <tableColumn id="8" xr3:uid="{B574159F-9AEF-4B41-BBAD-57CE499679CC}" name="Divisia capital  income shares (note 3)" dataDxfId="554">
      <calculatedColumnFormula>(L9+L8)/2</calculatedColumnFormula>
    </tableColumn>
    <tableColumn id="9" xr3:uid="{5DFF0350-6E15-4155-9910-0D5A09EB7AC1}" name="Labour income shares (note 2)" dataDxfId="553">
      <calculatedColumnFormula>O9*(P9/Q9)/M9</calculatedColumnFormula>
    </tableColumn>
    <tableColumn id="10" xr3:uid="{B841A775-9B0B-45E7-8219-3D8C54E6785F}" name="Capital income shares" dataDxfId="552">
      <calculatedColumnFormula>1-K9</calculatedColumnFormula>
    </tableColumn>
    <tableColumn id="13" xr3:uid="{36A16730-D358-4C6A-9BDF-7AFCA36E3113}" name="Value added - Current prices " dataDxfId="551" dataCellStyle="Normal 2 2"/>
    <tableColumn id="14" xr3:uid="{DEAD4C76-4F1B-4E33-954F-501AA170AD35}" name="Value added - Chain linked volumes, 2020" dataDxfId="550" dataCellStyle="Normal 2 2"/>
    <tableColumn id="15" xr3:uid="{B4DEF9A5-2E78-4634-90F0-C7DD801515A3}" name="Compensation of employees" dataDxfId="549" dataCellStyle="Normal 2 2"/>
    <tableColumn id="16" xr3:uid="{99763BB9-1B71-4C28-B8E3-DEBB2914C4FA}" name="Hours worked - total employment" dataDxfId="548" dataCellStyle="Normal 2 2"/>
    <tableColumn id="17" xr3:uid="{7D716119-411C-41D5-9722-CC38FE8CF82E}" name="Hours worked employees" dataDxfId="547" dataCellStyle="Normal 2 2"/>
    <tableColumn id="18" xr3:uid="{710D1AA8-79C6-4725-8D6E-471A1E57DAEA}" name="Capital stock (net) - Chain linked volumes, 2020" dataDxfId="546" dataCellStyle="Normal 2 2"/>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85C471-70CB-482B-B1CF-938FAE5ECF7F}" name="MFP_523245" displayName="MFP_523245" ref="A8:R30" totalsRowShown="0" headerRowDxfId="545" dataDxfId="544" tableBorderDxfId="543">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59299F1-38BB-444B-A085-0C4583167978}" name="Year" dataDxfId="542">
      <calculatedColumnFormula>A8+1</calculatedColumnFormula>
    </tableColumn>
    <tableColumn id="2" xr3:uid="{FAB4BDB3-1033-4261-A044-27A06B967E3C}" name="MFP index (2020=1)" dataDxfId="541"/>
    <tableColumn id="3" xr3:uid="{18B03AC4-9BC0-4631-8637-5C99FDD7DDB9}" name="MFP growth contribution (note 1)" dataDxfId="540"/>
    <tableColumn id="4" xr3:uid="{E1ACA113-B11B-45FC-B8F1-3099F3634DA7}" name="Value added growth rates (ln), in % (note 1)" dataDxfId="539"/>
    <tableColumn id="5" xr3:uid="{DC9ED8DF-9E91-40CD-9C2C-65767D5D31FA}" name="Hours worked growth contribution (note 1)" dataDxfId="538"/>
    <tableColumn id="6" xr3:uid="{3A0525FC-AFCF-462B-A534-A61D76E126E2}" name="Capital stock (net) growth contribution (note 1)" dataDxfId="537"/>
    <tableColumn id="11" xr3:uid="{C6FC4A6B-B9D1-4F15-AF1B-1907F330879F}" name="Hours worked growth rates (ln), in % (note 4)" dataDxfId="536">
      <calculatedColumnFormula>(LN(H43)-LN(H42))*100</calculatedColumnFormula>
    </tableColumn>
    <tableColumn id="12" xr3:uid="{A79AD687-8645-4810-8AEF-2C53DA3C4294}" name="Capital stock (net) growth rates (ln), in %  (note 4)" dataDxfId="535">
      <calculatedColumnFormula>(LN(J43)-LN(J42))*100</calculatedColumnFormula>
    </tableColumn>
    <tableColumn id="7" xr3:uid="{824D3CDA-992C-4F55-9949-3C7391457750}" name="Divisia labour income shares (note 3)" dataDxfId="534">
      <calculatedColumnFormula>(K9+K8)/2</calculatedColumnFormula>
    </tableColumn>
    <tableColumn id="8" xr3:uid="{80279E02-CC51-4684-AAEC-42A359F7AD5C}" name="Divisia capital  income shares (note 3)" dataDxfId="533">
      <calculatedColumnFormula>(L9+L8)/2</calculatedColumnFormula>
    </tableColumn>
    <tableColumn id="9" xr3:uid="{6DA33DE8-B8B7-412D-B2CB-52EAFD4D9D6A}" name="Labour income shares (note 2)" dataDxfId="532">
      <calculatedColumnFormula>O9*(P9/Q9)/M9</calculatedColumnFormula>
    </tableColumn>
    <tableColumn id="10" xr3:uid="{042330EF-303E-41C8-98FF-E5BD737A976F}" name="Capital income shares" dataDxfId="531">
      <calculatedColumnFormula>1-K9</calculatedColumnFormula>
    </tableColumn>
    <tableColumn id="13" xr3:uid="{8326BD11-18FD-481A-A5E3-51A3B21CB143}" name="Value added - Current prices " dataDxfId="530" dataCellStyle="Normal 2 2"/>
    <tableColumn id="14" xr3:uid="{E6FF7730-54AC-4CAC-9AAD-DF46C98BDC09}" name="Value added - Chain linked volumes, 2020" dataDxfId="529" dataCellStyle="Normal 2 2"/>
    <tableColumn id="15" xr3:uid="{FD2AC346-64B0-489E-94EA-BE8A4F7E9174}" name="Compensation of employees" dataDxfId="528" dataCellStyle="Normal 2 2"/>
    <tableColumn id="16" xr3:uid="{F8808A41-EBB6-4153-A025-3FA7DB128908}" name="Hours worked - total employment" dataDxfId="527" dataCellStyle="Normal 2 2"/>
    <tableColumn id="17" xr3:uid="{A641C865-B421-4526-BD07-FFF659F877D5}" name="Hours worked employees" dataDxfId="526" dataCellStyle="Normal 2 2"/>
    <tableColumn id="18" xr3:uid="{B882E5F1-EF06-41EB-8CB5-56E9F740CD5E}" name="Capital stock (net) - Chain linked volumes, 2020" dataDxfId="525" dataCellStyle="Normal 2 2"/>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E04F24-012A-4D39-B546-A93F4E5A6400}" name="MFP_5232456" displayName="MFP_5232456" ref="A8:R30" totalsRowShown="0" headerRowDxfId="524" dataDxfId="523" tableBorderDxfId="522">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236044E8-1A74-4060-8B73-342E0349AF30}" name="Year" dataDxfId="521">
      <calculatedColumnFormula>A8+1</calculatedColumnFormula>
    </tableColumn>
    <tableColumn id="2" xr3:uid="{28F7457C-20CE-4D0A-A504-E762B245A0D9}" name="MFP index (2020=1)" dataDxfId="520"/>
    <tableColumn id="3" xr3:uid="{D5FEC2E2-9D4D-4CA3-A2D6-89F8F4FC653C}" name="MFP growth contribution (note 1)" dataDxfId="519"/>
    <tableColumn id="4" xr3:uid="{08C8D9FA-03B0-4178-BC7B-C9786D1127C0}" name="Value added growth rates (ln), in % (note 1)" dataDxfId="518"/>
    <tableColumn id="5" xr3:uid="{06EA1D80-20FA-46BE-B3E4-82240E2C18D0}" name="Hours worked growth contribution (note 1)" dataDxfId="517"/>
    <tableColumn id="6" xr3:uid="{7A7D11FC-BA52-4E40-B17A-1B248EA0F780}" name="Capital stock (net) growth contribution (note 1)" dataDxfId="516"/>
    <tableColumn id="11" xr3:uid="{BF9FC234-CDA6-4242-BD72-88FFAD2E6028}" name="Hours worked growth rates (ln), in % (note 4)" dataDxfId="515">
      <calculatedColumnFormula>(LN(H43)-LN(H42))*100</calculatedColumnFormula>
    </tableColumn>
    <tableColumn id="12" xr3:uid="{12C1B70B-BD36-4CEE-847C-18A8D93E83A5}" name="Capital stock (net) growth rates (ln), in %  (note 4)" dataDxfId="514">
      <calculatedColumnFormula>(LN(J43)-LN(J42))*100</calculatedColumnFormula>
    </tableColumn>
    <tableColumn id="7" xr3:uid="{45898D5F-D41F-4495-B087-F66BC8A7A448}" name="Divisia labour income shares (note 3)" dataDxfId="513">
      <calculatedColumnFormula>(K9+K8)/2</calculatedColumnFormula>
    </tableColumn>
    <tableColumn id="8" xr3:uid="{74882531-C26A-45A1-8249-BB2D538E76D9}" name="Divisia capital  income shares (note 3)" dataDxfId="512">
      <calculatedColumnFormula>(L9+L8)/2</calculatedColumnFormula>
    </tableColumn>
    <tableColumn id="9" xr3:uid="{564CDFD3-C0AA-4581-BA06-20012C055DBC}" name="Labour income shares (note 2)" dataDxfId="511">
      <calculatedColumnFormula>O9*(P9/Q9)/M9</calculatedColumnFormula>
    </tableColumn>
    <tableColumn id="10" xr3:uid="{0EF40AED-A263-4D00-A766-210AAA32766C}" name="Capital income shares" dataDxfId="510">
      <calculatedColumnFormula>1-K9</calculatedColumnFormula>
    </tableColumn>
    <tableColumn id="13" xr3:uid="{049F27DA-A2BB-48FC-8DF5-B1E8A39D4BA0}" name="Value added - Current prices " dataDxfId="509" dataCellStyle="Normal 2 2"/>
    <tableColumn id="14" xr3:uid="{5FA349C8-0182-4E60-BA58-C1C1AD16A13A}" name="Value added - Chain linked volumes, 2020" dataDxfId="508" dataCellStyle="Normal 2 2"/>
    <tableColumn id="15" xr3:uid="{D6EBA937-4BC3-41F2-A8F6-934095C1F4B8}" name="Compensation of employees" dataDxfId="507" dataCellStyle="Normal 2 2"/>
    <tableColumn id="16" xr3:uid="{52ECD562-5502-433F-A999-44B8BAC2892F}" name="Hours worked - total employment" dataDxfId="506" dataCellStyle="Normal 2 2"/>
    <tableColumn id="17" xr3:uid="{7D4067D3-E476-4541-9A85-4BB57675FF99}" name="Hours worked employees" dataDxfId="505" dataCellStyle="Normal 2 2"/>
    <tableColumn id="18" xr3:uid="{03F21928-B988-4A65-B97F-F73ED3D1E784}" name="Capital stock (net) - Chain linked volumes, 2020" dataDxfId="504" dataCellStyle="Normal 2 2"/>
  </tableColumns>
  <tableStyleInfo name="TableStyleLight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03C271-E8DA-4B69-8209-304DFAE8363F}" name="MFP_52324567" displayName="MFP_52324567" ref="A8:R30" totalsRowShown="0" headerRowDxfId="503" dataDxfId="502" tableBorderDxfId="501">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36B01FBD-F538-4DAD-B6CF-B609F019F9B5}" name="Year" dataDxfId="500">
      <calculatedColumnFormula>A8+1</calculatedColumnFormula>
    </tableColumn>
    <tableColumn id="2" xr3:uid="{3AA3E89D-98CF-461E-8287-653082B86D75}" name="MFP index (2020=1)" dataDxfId="499"/>
    <tableColumn id="3" xr3:uid="{A4726D24-1A5A-4AAA-AC1C-74E23E21DDF1}" name="MFP growth contribution (note 1)" dataDxfId="498"/>
    <tableColumn id="4" xr3:uid="{6595AE4B-345A-4124-8FEC-D5A01471AAD1}" name="Value added growth rates (ln), in % (note 1)" dataDxfId="497"/>
    <tableColumn id="5" xr3:uid="{11EB3A0E-4B4F-415A-B73C-4AD97ACA7BD1}" name="Hours worked growth contribution (note 1)" dataDxfId="496"/>
    <tableColumn id="6" xr3:uid="{E9B016AB-A378-4581-9FEC-F41B587A8947}" name="Capital stock (net) growth contribution (note 1)" dataDxfId="495"/>
    <tableColumn id="11" xr3:uid="{B4E090E9-6B75-4A22-AA86-6C82E2ECD127}" name="Hours worked growth rates (ln), in % (note 4)" dataDxfId="494">
      <calculatedColumnFormula>(LN(H43)-LN(H42))*100</calculatedColumnFormula>
    </tableColumn>
    <tableColumn id="12" xr3:uid="{D09EAFD2-2C10-4414-A13B-2358AA84E8BB}" name="Capital stock (net) growth rates (ln), in %  (note 4)" dataDxfId="493">
      <calculatedColumnFormula>(LN(J43)-LN(J42))*100</calculatedColumnFormula>
    </tableColumn>
    <tableColumn id="7" xr3:uid="{007764D8-8922-403F-935D-B1E9A5F6E7EE}" name="Divisia labour income shares (note 3)" dataDxfId="492">
      <calculatedColumnFormula>(K9+K8)/2</calculatedColumnFormula>
    </tableColumn>
    <tableColumn id="8" xr3:uid="{EF10EAC4-FCF9-4812-A2A8-CF46230016BD}" name="Divisia capital  income shares (note 3)" dataDxfId="491">
      <calculatedColumnFormula>(L9+L8)/2</calculatedColumnFormula>
    </tableColumn>
    <tableColumn id="9" xr3:uid="{0DBB98A2-BB8C-4035-A4DB-132E501FCECA}" name="Labour income shares (note 2)" dataDxfId="490">
      <calculatedColumnFormula>O9*(P9/Q9)/M9</calculatedColumnFormula>
    </tableColumn>
    <tableColumn id="10" xr3:uid="{FF5E94BF-C827-4444-8380-F0FCC35FF5F2}" name="Capital income shares" dataDxfId="489">
      <calculatedColumnFormula>1-K9</calculatedColumnFormula>
    </tableColumn>
    <tableColumn id="13" xr3:uid="{4FB2BA0E-C2F9-4F4C-A5DD-664F5CF8328C}" name="Value added - Current prices " dataDxfId="488" dataCellStyle="Normal 2 2"/>
    <tableColumn id="14" xr3:uid="{FE4D76B0-E100-4960-BD93-B1739B9440DF}" name="Value added - Chain linked volumes, 2020" dataDxfId="487" dataCellStyle="Normal 2 2"/>
    <tableColumn id="15" xr3:uid="{E52AA70A-87FA-4E47-A25E-C8EA15847C2F}" name="Compensation of employees" dataDxfId="486" dataCellStyle="Normal 2 2"/>
    <tableColumn id="16" xr3:uid="{DCFCEB7B-8768-4E1C-A9D8-B66A3DBE59D1}" name="Hours worked - total employment" dataDxfId="485" dataCellStyle="Normal 2 2"/>
    <tableColumn id="17" xr3:uid="{722DE437-E2E2-4E9E-89AC-0ADFC535D8A3}" name="Hours worked employees" dataDxfId="484" dataCellStyle="Normal 2 2"/>
    <tableColumn id="18" xr3:uid="{0F227700-6347-4554-BAC5-9C29E0C987A9}" name="Capital stock (net) - Chain linked volumes, 2020" dataDxfId="483" dataCellStyle="Normal 2 2"/>
  </tableColumns>
  <tableStyleInfo name="TableStyleLight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0B4A4B-2AEC-41C5-B38D-A4CA485CD7CA}" name="MFP_523245678" displayName="MFP_523245678" ref="A8:R30" totalsRowShown="0" headerRowDxfId="482" dataDxfId="481" tableBorderDxfId="480">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C359A158-6F3E-4E66-9D9F-2B6EC5C84135}" name="Year" dataDxfId="479">
      <calculatedColumnFormula>A8+1</calculatedColumnFormula>
    </tableColumn>
    <tableColumn id="2" xr3:uid="{BB791492-5630-4A01-920C-1F9EDDED7BA2}" name="MFP index (2020=1)" dataDxfId="478"/>
    <tableColumn id="3" xr3:uid="{250E8B46-DCB8-4149-88D1-72858AFEEABD}" name="MFP growth contribution (note 1)" dataDxfId="477"/>
    <tableColumn id="4" xr3:uid="{CF00E5B0-55FA-4722-9B0E-616BDFB59617}" name="Value added growth rates (ln), in % (note 1)" dataDxfId="476"/>
    <tableColumn id="5" xr3:uid="{C12DE44C-305E-4064-B545-2E45FCECB3B4}" name="Hours worked growth contribution (note 1)" dataDxfId="475"/>
    <tableColumn id="6" xr3:uid="{0E2F98BA-C2E2-4DC0-B0F6-6A99EEEC7D31}" name="Capital stock (net) growth contribution (note 1)" dataDxfId="474"/>
    <tableColumn id="11" xr3:uid="{59247949-4265-49D8-BF3A-B4A7D9471A32}" name="Hours worked growth rates (ln), in % (note 4)" dataDxfId="473">
      <calculatedColumnFormula>(LN(H43)-LN(H42))*100</calculatedColumnFormula>
    </tableColumn>
    <tableColumn id="12" xr3:uid="{27390E8A-2137-463A-A01E-677713ABBD3E}" name="Capital stock (net) growth rates (ln), in %  (note 4)" dataDxfId="472">
      <calculatedColumnFormula>(LN(J43)-LN(J42))*100</calculatedColumnFormula>
    </tableColumn>
    <tableColumn id="7" xr3:uid="{6C7A5BE9-DA30-4400-BC1D-4DF93F8B57DB}" name="Divisia labour income shares (note 3)" dataDxfId="471">
      <calculatedColumnFormula>(K9+K8)/2</calculatedColumnFormula>
    </tableColumn>
    <tableColumn id="8" xr3:uid="{8341CDA6-E286-48DA-96BB-C9FA8AA6C9A1}" name="Divisia capital  income shares (note 3)" dataDxfId="470">
      <calculatedColumnFormula>(L9+L8)/2</calculatedColumnFormula>
    </tableColumn>
    <tableColumn id="9" xr3:uid="{6AB8F9E6-99F4-41F0-A182-0EF98E1FA247}" name="Labour income shares (note 2)" dataDxfId="469">
      <calculatedColumnFormula>O9*(P9/Q9)/M9</calculatedColumnFormula>
    </tableColumn>
    <tableColumn id="10" xr3:uid="{CB919A1D-EBB6-4000-82D3-B3996C6F0150}" name="Capital income shares" dataDxfId="468">
      <calculatedColumnFormula>1-K9</calculatedColumnFormula>
    </tableColumn>
    <tableColumn id="13" xr3:uid="{71A937DD-A549-4353-B8AF-8A837A6A460D}" name="Value added - Current prices " dataDxfId="467" dataCellStyle="Normal 2 2"/>
    <tableColumn id="14" xr3:uid="{2A5CD982-3711-49AC-8C13-77CB40E13C38}" name="Value added - Chain linked volumes, 2020" dataDxfId="466" dataCellStyle="Normal 2 2"/>
    <tableColumn id="15" xr3:uid="{ED7496E4-2158-45FD-9571-0BC6AA294B57}" name="Compensation of employees" dataDxfId="465" dataCellStyle="Normal 2 2"/>
    <tableColumn id="16" xr3:uid="{279E7512-5930-4C7D-9906-E76BE8DE8BE0}" name="Hours worked - total employment" dataDxfId="464" dataCellStyle="Normal 2 2"/>
    <tableColumn id="17" xr3:uid="{DF120928-1041-4EDB-A9CF-2972C06F3349}" name="Hours worked employees" dataDxfId="463" dataCellStyle="Normal 2 2"/>
    <tableColumn id="18" xr3:uid="{48979DBE-0FE5-4D2F-B301-E3DC9CA10CFB}" name="Capital stock (net) - Chain linked volumes, 2020" dataDxfId="462" dataCellStyle="Normal 2 2"/>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92BC21-52F0-42C3-B864-E43C3794DF64}" name="MFP_5232456789" displayName="MFP_5232456789" ref="A8:R30" totalsRowShown="0" headerRowDxfId="461" dataDxfId="460" tableBorderDxfId="459">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B67433A4-1FB1-42B9-AE09-3B82E0D8E6F6}" name="Year" dataDxfId="458">
      <calculatedColumnFormula>A8+1</calculatedColumnFormula>
    </tableColumn>
    <tableColumn id="2" xr3:uid="{E7A26355-62B3-4350-AD20-D4D69F6063DF}" name="MFP index (2020=1)" dataDxfId="457"/>
    <tableColumn id="3" xr3:uid="{A8870D22-5F62-467E-A20D-6C5CFADD1105}" name="MFP growth contribution (note 1)" dataDxfId="456"/>
    <tableColumn id="4" xr3:uid="{7067475B-55F3-4193-932E-F44238B628C8}" name="Value added growth rates (ln), in % (note 1)" dataDxfId="455"/>
    <tableColumn id="5" xr3:uid="{7A67AAC3-3D0C-4C81-9604-8CED7CEB9F24}" name="Hours worked growth contribution (note 1)" dataDxfId="454"/>
    <tableColumn id="6" xr3:uid="{2DB93398-0EE5-422F-B86C-0A83A74C32FD}" name="Capital stock (net) growth contribution (note 1)" dataDxfId="453"/>
    <tableColumn id="11" xr3:uid="{84574285-935F-414D-B587-F6AFF121CC25}" name="Hours worked growth rates (ln), in % (note 4)" dataDxfId="452">
      <calculatedColumnFormula>(LN(H43)-LN(H42))*100</calculatedColumnFormula>
    </tableColumn>
    <tableColumn id="12" xr3:uid="{E5393F7F-D0A2-454A-8B54-8BEDF6BD5B23}" name="Capital stock (net) growth rates (ln), in %  (note 4)" dataDxfId="451">
      <calculatedColumnFormula>(LN(J43)-LN(J42))*100</calculatedColumnFormula>
    </tableColumn>
    <tableColumn id="7" xr3:uid="{E9AECC2B-9AFF-4C74-BB69-DD720ABC6208}" name="Divisia labour income shares (note 3)" dataDxfId="450">
      <calculatedColumnFormula>(K9+K8)/2</calculatedColumnFormula>
    </tableColumn>
    <tableColumn id="8" xr3:uid="{10186874-4302-4403-A967-8EA2C0EE3466}" name="Divisia capital  income shares (note 3)" dataDxfId="449">
      <calculatedColumnFormula>(L9+L8)/2</calculatedColumnFormula>
    </tableColumn>
    <tableColumn id="9" xr3:uid="{23E2A483-4256-4770-85EC-C2C79CEB094E}" name="Labour income shares (note 2)" dataDxfId="448">
      <calculatedColumnFormula>O9*(P9/Q9)/M9</calculatedColumnFormula>
    </tableColumn>
    <tableColumn id="10" xr3:uid="{A86DB1CB-C89E-46F3-9CD2-3A1DD26FC655}" name="Capital income shares" dataDxfId="447">
      <calculatedColumnFormula>1-K9</calculatedColumnFormula>
    </tableColumn>
    <tableColumn id="13" xr3:uid="{E8D73A09-787F-4285-9BBB-E8EABD008841}" name="Value added - Current prices " dataDxfId="446" dataCellStyle="Normal 2 2"/>
    <tableColumn id="14" xr3:uid="{0747550C-4FFD-4B65-82AE-25BB745F9349}" name="Value added - Chain linked volumes, 2020" dataDxfId="445" dataCellStyle="Normal 2 2"/>
    <tableColumn id="15" xr3:uid="{511D1F51-A1B3-49B9-B05A-8EEF4BDD1302}" name="Compensation of employees" dataDxfId="444" dataCellStyle="Normal 2 2"/>
    <tableColumn id="16" xr3:uid="{EE5F55B8-AD1E-4743-83F3-54E6DAD7299A}" name="Hours worked - total employment" dataDxfId="443" dataCellStyle="Normal 2 2"/>
    <tableColumn id="17" xr3:uid="{A90B5013-1518-47AC-BF44-48A4B2265352}" name="Hours worked employees" dataDxfId="442" dataCellStyle="Normal 2 2"/>
    <tableColumn id="18" xr3:uid="{84D5735A-2B0E-4FD1-9D25-1FD085EDE0C4}" name="Capital stock (net) - Chain linked volumes, 2020" dataDxfId="441" dataCellStyle="Normal 2 2"/>
  </tableColumns>
  <tableStyleInfo name="TableStyleLight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8E6477F-4D16-4F33-AA1F-922C51B8B5C7}" name="MFP_523245678910" displayName="MFP_523245678910" ref="A8:R30" totalsRowShown="0" headerRowDxfId="440" dataDxfId="439" tableBorderDxfId="438">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573D943-19E9-4D9F-BC25-9E4D70A66322}" name="Year" dataDxfId="437">
      <calculatedColumnFormula>A8+1</calculatedColumnFormula>
    </tableColumn>
    <tableColumn id="2" xr3:uid="{6961E840-83D8-4407-A530-2904D00E712C}" name="MFP index (2020=1)" dataDxfId="436"/>
    <tableColumn id="3" xr3:uid="{2FC7021C-C499-4E15-9403-FABA00B06479}" name="MFP growth contribution (note 1)" dataDxfId="435"/>
    <tableColumn id="4" xr3:uid="{E2C1ADA9-97B5-4E0E-A15B-568FEA4E51C3}" name="Value added growth rates (ln), in % (note 1)" dataDxfId="434"/>
    <tableColumn id="5" xr3:uid="{61A6051F-8267-44D2-9E27-9905BEEA4339}" name="Hours worked growth contribution (note 1)" dataDxfId="433"/>
    <tableColumn id="6" xr3:uid="{B557EA95-C71B-454A-8BCB-3FD18AAD6298}" name="Capital stock (net) growth contribution (note 1)" dataDxfId="432"/>
    <tableColumn id="11" xr3:uid="{C62AA845-D374-44A2-B9C9-EF5FE8BA4C84}" name="Hours worked growth rates (ln), in % (note 4)" dataDxfId="431">
      <calculatedColumnFormula>(LN(H43)-LN(H42))*100</calculatedColumnFormula>
    </tableColumn>
    <tableColumn id="12" xr3:uid="{E8406655-58C0-4451-AA43-44BB6B6C51A1}" name="Capital stock (net) growth rates (ln), in %  (note 4)" dataDxfId="430">
      <calculatedColumnFormula>(LN(J43)-LN(J42))*100</calculatedColumnFormula>
    </tableColumn>
    <tableColumn id="7" xr3:uid="{60F0B059-74AA-4C02-BBA8-C85145FFBF1E}" name="Divisia labour income shares (note 3)" dataDxfId="429">
      <calculatedColumnFormula>(K9+K8)/2</calculatedColumnFormula>
    </tableColumn>
    <tableColumn id="8" xr3:uid="{313BC777-7E0C-4423-9C3B-CE2606F948C3}" name="Divisia capital  income shares (note 3)" dataDxfId="428">
      <calculatedColumnFormula>(L9+L8)/2</calculatedColumnFormula>
    </tableColumn>
    <tableColumn id="9" xr3:uid="{B3411A56-E843-4FA6-9848-1A6B4B44AA1C}" name="Labour income shares (note 2)" dataDxfId="427">
      <calculatedColumnFormula>O9*(P9/Q9)/M9</calculatedColumnFormula>
    </tableColumn>
    <tableColumn id="10" xr3:uid="{6D19CAC0-CF2E-46AA-A96E-F9DF379578EF}" name="Capital income shares" dataDxfId="426">
      <calculatedColumnFormula>1-K9</calculatedColumnFormula>
    </tableColumn>
    <tableColumn id="13" xr3:uid="{21882BDA-1AFE-4305-872D-D158146BCF11}" name="Value added - Current prices " dataDxfId="425" dataCellStyle="Normal 2 2"/>
    <tableColumn id="14" xr3:uid="{BDAB2998-2370-4478-99B2-CEA176A4F4C6}" name="Value added - Chain linked volumes, 2020" dataDxfId="424" dataCellStyle="Normal 2 2"/>
    <tableColumn id="15" xr3:uid="{2C0100B0-2534-484B-9392-CA1EF5529388}" name="Compensation of employees" dataDxfId="423" dataCellStyle="Normal 2 2"/>
    <tableColumn id="16" xr3:uid="{5B83704F-08A2-42D7-A20E-22A26D9C9C3E}" name="Hours worked - total employment" dataDxfId="422" dataCellStyle="Normal 2 2"/>
    <tableColumn id="17" xr3:uid="{3680E31C-26FD-4686-80DE-F3A7DCED8E4F}" name="Hours worked employees" dataDxfId="421" dataCellStyle="Normal 2 2"/>
    <tableColumn id="18" xr3:uid="{713B5BAA-4074-421D-8915-74F4B1DEADBE}" name="Capital stock (net) - Chain linked volumes, 2020" dataDxfId="420" dataCellStyle="Normal 2 2"/>
  </tableColumns>
  <tableStyleInfo name="TableStyleLight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5384B97-C959-4F07-8813-F3765D19407D}" name="MFP_52324567891011" displayName="MFP_52324567891011" ref="A8:R30" totalsRowShown="0" headerRowDxfId="419" dataDxfId="418" tableBorderDxfId="417">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2F76A44A-D0E4-4B4F-B862-947AC8D8B8CD}" name="Year" dataDxfId="416">
      <calculatedColumnFormula>A8+1</calculatedColumnFormula>
    </tableColumn>
    <tableColumn id="2" xr3:uid="{77A5AE54-2843-497C-8DBB-07A154A3369C}" name="MFP index (2020=1)" dataDxfId="415"/>
    <tableColumn id="3" xr3:uid="{6BB39854-1C16-40A8-BE8F-1AA15EFD69F1}" name="MFP growth contribution (note 1)" dataDxfId="414"/>
    <tableColumn id="4" xr3:uid="{97D66217-7B6A-47CB-80DB-C2115BB132FE}" name="Value added growth rates (ln), in % (note 1)" dataDxfId="413"/>
    <tableColumn id="5" xr3:uid="{AFBBBA7A-A7D8-4360-95BF-47D6C07D0776}" name="Hours worked growth contribution (note 1)" dataDxfId="412"/>
    <tableColumn id="6" xr3:uid="{77D7E340-F83A-44BB-8152-ACBF1BD37857}" name="Capital stock (net) growth contribution (note 1)" dataDxfId="411"/>
    <tableColumn id="11" xr3:uid="{D9A52C81-A511-4AA3-B2ED-B457B766D82C}" name="Hours worked growth rates (ln), in % (note 4)" dataDxfId="410">
      <calculatedColumnFormula>(LN(H43)-LN(H42))*100</calculatedColumnFormula>
    </tableColumn>
    <tableColumn id="12" xr3:uid="{D4294D1F-55B9-414B-85F2-F2E3F8D52203}" name="Capital stock (net) growth rates (ln), in %  (note 4)" dataDxfId="409">
      <calculatedColumnFormula>(LN(J43)-LN(J42))*100</calculatedColumnFormula>
    </tableColumn>
    <tableColumn id="7" xr3:uid="{D8FBE3A1-00B3-4315-9CF7-DE6278D7F7E4}" name="Divisia labour income shares (note 3)" dataDxfId="408">
      <calculatedColumnFormula>(K9+K8)/2</calculatedColumnFormula>
    </tableColumn>
    <tableColumn id="8" xr3:uid="{CD76D71D-10B5-4DC9-8FBE-BEAB18151129}" name="Divisia capital  income shares (note 3)" dataDxfId="407">
      <calculatedColumnFormula>(L9+L8)/2</calculatedColumnFormula>
    </tableColumn>
    <tableColumn id="9" xr3:uid="{6AC2A9C6-C0EB-493D-9C42-97D68E4E875A}" name="Labour income shares (note 2)" dataDxfId="406">
      <calculatedColumnFormula>O9*(P9/Q9)/M9</calculatedColumnFormula>
    </tableColumn>
    <tableColumn id="10" xr3:uid="{B75A36CF-8E16-46FE-9041-698C7A8831B4}" name="Capital income shares" dataDxfId="405">
      <calculatedColumnFormula>1-K9</calculatedColumnFormula>
    </tableColumn>
    <tableColumn id="13" xr3:uid="{C7B4B931-251A-477E-913E-29614D1F52B0}" name="Value added - Current prices " dataDxfId="404" dataCellStyle="Normal 2 2"/>
    <tableColumn id="14" xr3:uid="{9C26D43F-B0DC-4F35-A196-5ED8B0058E48}" name="Value added - Chain linked volumes, 2020" dataDxfId="403" dataCellStyle="Normal 2 2"/>
    <tableColumn id="15" xr3:uid="{36D88398-86F4-4DBC-8B0B-EADE563A68AF}" name="Compensation of employees" dataDxfId="402" dataCellStyle="Normal 2 2"/>
    <tableColumn id="16" xr3:uid="{FB5882EC-EB5E-43D9-99DA-C852236F894F}" name="Hours worked - total employment" dataDxfId="401" dataCellStyle="Normal 2 2"/>
    <tableColumn id="17" xr3:uid="{7204C175-C81B-409B-AEFA-CEB8C6EC6EE7}" name="Hours worked employees" dataDxfId="400" dataCellStyle="Normal 2 2"/>
    <tableColumn id="18" xr3:uid="{A73789AB-C65B-42A5-A50E-87D6DBA25195}" name="Capital stock (net) - Chain linked volumes, 2020" dataDxfId="399" dataCellStyle="Normal 2 2"/>
  </tableColumns>
  <tableStyleInfo name="TableStyleLight2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871DB9A-45EB-4E92-87AA-46D62978032E}" name="MFP_5232456789101112" displayName="MFP_5232456789101112" ref="A8:R30" totalsRowShown="0" headerRowDxfId="398" dataDxfId="397" tableBorderDxfId="396">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FE5A4B56-6E10-4982-82B7-9A531BBCB272}" name="Year" dataDxfId="395">
      <calculatedColumnFormula>A8+1</calculatedColumnFormula>
    </tableColumn>
    <tableColumn id="2" xr3:uid="{322EABBE-5A6E-4660-803E-42F9116F684E}" name="MFP index (2020=1)" dataDxfId="394"/>
    <tableColumn id="3" xr3:uid="{BCD46CE3-2BC6-4302-9012-0E198F22D834}" name="MFP growth contribution (note 1)" dataDxfId="393"/>
    <tableColumn id="4" xr3:uid="{6E627101-4547-4531-9455-6242D9DA8ACE}" name="Value added growth rates (ln), in % (note 1)" dataDxfId="392"/>
    <tableColumn id="5" xr3:uid="{DAD81883-E95C-45F1-B091-E326BBB87982}" name="Hours worked growth contribution (note 1)" dataDxfId="391"/>
    <tableColumn id="6" xr3:uid="{571834A5-9ED4-4534-B493-C0CA2718A26E}" name="Capital stock (net) growth contribution (note 1)" dataDxfId="390"/>
    <tableColumn id="11" xr3:uid="{7928C051-6238-4306-9B51-079822BFA8BD}" name="Hours worked growth rates (ln), in % (note 4)" dataDxfId="389">
      <calculatedColumnFormula>(LN(H43)-LN(H42))*100</calculatedColumnFormula>
    </tableColumn>
    <tableColumn id="12" xr3:uid="{A44839CE-5EA1-44BC-BA51-A6A8ECCD4CB2}" name="Capital stock (net) growth rates (ln), in %  (note 4)" dataDxfId="388">
      <calculatedColumnFormula>(LN(J43)-LN(J42))*100</calculatedColumnFormula>
    </tableColumn>
    <tableColumn id="7" xr3:uid="{75F3E243-F451-45AC-B41E-2D8E6507D52A}" name="Divisia labour income shares (note 3)" dataDxfId="387">
      <calculatedColumnFormula>(K9+K8)/2</calculatedColumnFormula>
    </tableColumn>
    <tableColumn id="8" xr3:uid="{3511B79E-36E4-40D1-8451-5F3F505843F9}" name="Divisia capital  income shares (note 3)" dataDxfId="386">
      <calculatedColumnFormula>(L9+L8)/2</calculatedColumnFormula>
    </tableColumn>
    <tableColumn id="9" xr3:uid="{C7B20C74-2034-462C-AF7C-A775DA2F0EBF}" name="Labour income shares (note 2)" dataDxfId="385">
      <calculatedColumnFormula>O9*(P9/Q9)/M9</calculatedColumnFormula>
    </tableColumn>
    <tableColumn id="10" xr3:uid="{14F52D8F-2E9E-46DD-A936-9B374A2059D1}" name="Capital income shares" dataDxfId="384">
      <calculatedColumnFormula>1-K9</calculatedColumnFormula>
    </tableColumn>
    <tableColumn id="13" xr3:uid="{62A5F8B8-61E7-44E4-83A0-BB7D8A269361}" name="Value added - Current prices " dataDxfId="383" dataCellStyle="Normal 2 2"/>
    <tableColumn id="14" xr3:uid="{E48C2B80-E4CD-4C1D-9E26-D5FC86C52984}" name="Value added - Chain linked volumes, 2020" dataDxfId="382" dataCellStyle="Normal 2 2"/>
    <tableColumn id="15" xr3:uid="{E35BAB14-4D59-424E-9E07-64FAE818CEAD}" name="Compensation of employees" dataDxfId="381" dataCellStyle="Normal 2 2"/>
    <tableColumn id="16" xr3:uid="{BC7AFA77-6FC1-469A-8950-3214CDD20C55}" name="Hours worked - total employment" dataDxfId="380" dataCellStyle="Normal 2 2"/>
    <tableColumn id="17" xr3:uid="{B0D03BDA-54B1-4A2E-994A-74E39E8C37D5}" name="Hours worked employees" dataDxfId="379" dataCellStyle="Normal 2 2"/>
    <tableColumn id="18" xr3:uid="{FF236320-7D7C-4AA8-B083-9405BDCE3D14}" name="Capital stock (net) - Chain linked volumes, 2020" dataDxfId="378" dataCellStyle="Normal 2 2"/>
  </tableColumns>
  <tableStyleInfo name="TableStyleLight2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3B55ED5-4D4E-4215-A229-732B54D8B271}" name="MFP_523245678910111213" displayName="MFP_523245678910111213" ref="A8:R30" totalsRowShown="0" headerRowDxfId="377" dataDxfId="376" tableBorderDxfId="375">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2EEDA15-3845-4413-A402-6EB219C8F650}" name="Year" dataDxfId="374">
      <calculatedColumnFormula>A8+1</calculatedColumnFormula>
    </tableColumn>
    <tableColumn id="2" xr3:uid="{A24336D8-489C-4C29-9F4E-4620F3017A5C}" name="MFP index (2020=1)" dataDxfId="373"/>
    <tableColumn id="3" xr3:uid="{BF4BD59C-F2C3-46B2-BE5F-405166477E6B}" name="MFP growth contribution (note 1)" dataDxfId="372"/>
    <tableColumn id="4" xr3:uid="{9973A92C-0A67-4AF8-8D5A-A38271EC88D6}" name="Value added growth rates (ln), in % (note 1)" dataDxfId="371"/>
    <tableColumn id="5" xr3:uid="{A59C429B-AD93-4666-830E-08EF97B800F9}" name="Hours worked growth contribution (note 1)" dataDxfId="370"/>
    <tableColumn id="6" xr3:uid="{87F497E9-145F-4F83-AC0C-D969F254A88A}" name="Capital stock (net) growth contribution (note 1)" dataDxfId="369"/>
    <tableColumn id="11" xr3:uid="{5C876FAE-E252-4E29-B250-113AA3D35BE2}" name="Hours worked growth rates (ln), in % (note 4)" dataDxfId="368">
      <calculatedColumnFormula>(LN(H43)-LN(H42))*100</calculatedColumnFormula>
    </tableColumn>
    <tableColumn id="12" xr3:uid="{23D5095E-C06D-4609-AD1C-8F00E4D22A87}" name="Capital stock (net) growth rates (ln), in %  (note 4)" dataDxfId="367">
      <calculatedColumnFormula>(LN(J43)-LN(J42))*100</calculatedColumnFormula>
    </tableColumn>
    <tableColumn id="7" xr3:uid="{2FC3FBAC-E6DD-44A7-8FF5-6098D3D99AF6}" name="Divisia labour income shares (note 3)" dataDxfId="366">
      <calculatedColumnFormula>(K9+K8)/2</calculatedColumnFormula>
    </tableColumn>
    <tableColumn id="8" xr3:uid="{94403F20-EAE6-48B4-BFB3-B123CCF2D69F}" name="Divisia capital  income shares (note 3)" dataDxfId="365">
      <calculatedColumnFormula>(L9+L8)/2</calculatedColumnFormula>
    </tableColumn>
    <tableColumn id="9" xr3:uid="{C470CE81-D1F1-411C-A0B5-DA7E48EF38A2}" name="Labour income shares (note 2)" dataDxfId="364">
      <calculatedColumnFormula>O9*(P9/Q9)/M9</calculatedColumnFormula>
    </tableColumn>
    <tableColumn id="10" xr3:uid="{F6F3E821-E77F-4687-B993-1D1D48C196C7}" name="Capital income shares" dataDxfId="363">
      <calculatedColumnFormula>1-K9</calculatedColumnFormula>
    </tableColumn>
    <tableColumn id="13" xr3:uid="{9255F676-024C-40BE-832E-73A4BA431F75}" name="Value added - Current prices " dataDxfId="362" dataCellStyle="Normal 2 2"/>
    <tableColumn id="14" xr3:uid="{63225928-D15C-4B11-B659-B852952744F8}" name="Value added - Chain linked volumes, 2020" dataDxfId="361" dataCellStyle="Normal 2 2"/>
    <tableColumn id="15" xr3:uid="{C6EB5D1A-BDC0-400F-B55D-8CF8295F264C}" name="Compensation of employees" dataDxfId="360" dataCellStyle="Normal 2 2"/>
    <tableColumn id="16" xr3:uid="{A28BABCF-810D-4326-966E-EC36ED0EA579}" name="Hours worked - total employment" dataDxfId="359" dataCellStyle="Normal 2 2"/>
    <tableColumn id="17" xr3:uid="{F469BB76-AA7A-4E47-8847-1927720BC3B4}" name="Hours worked employees" dataDxfId="358" dataCellStyle="Normal 2 2"/>
    <tableColumn id="18" xr3:uid="{DF9496E3-0600-471F-AD06-06B45F622ED8}" name="Capital stock (net) - Chain linked volumes, 2020" dataDxfId="357" dataCellStyle="Normal 2 2"/>
  </tableColumns>
  <tableStyleInfo name="TableStyleLight2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3E9FE7D-35BD-4F73-8E7E-ADA7B2507968}" name="MFP_52324567891011121314" displayName="MFP_52324567891011121314" ref="A8:R30" totalsRowShown="0" headerRowDxfId="356" dataDxfId="355" tableBorderDxfId="354">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C5FC4E85-D306-48B9-8D0C-673B294DABE4}" name="Year" dataDxfId="353">
      <calculatedColumnFormula>A8+1</calculatedColumnFormula>
    </tableColumn>
    <tableColumn id="2" xr3:uid="{58FFB489-AC42-4047-9BFF-139698A231D2}" name="MFP index (2020=1)" dataDxfId="352"/>
    <tableColumn id="3" xr3:uid="{2C94640C-FEF4-4591-8C88-B96E67C76D34}" name="MFP growth contribution (note 1)" dataDxfId="351"/>
    <tableColumn id="4" xr3:uid="{D6558FA5-2557-42F4-8E9B-85F24B8C1FF0}" name="Value added growth rates (ln), in % (note 1)" dataDxfId="350"/>
    <tableColumn id="5" xr3:uid="{2D08A3B2-623D-4FF3-A402-063B2DDABEAE}" name="Hours worked growth contribution (note 1)" dataDxfId="349"/>
    <tableColumn id="6" xr3:uid="{325A467C-DCA1-45FF-8B6A-B3EBF1EF6D7C}" name="Capital stock (net) growth contribution (note 1)" dataDxfId="348"/>
    <tableColumn id="11" xr3:uid="{B5F5D796-D39F-4097-AC2B-DD946AEC3976}" name="Hours worked growth rates (ln), in % (note 4)" dataDxfId="347">
      <calculatedColumnFormula>(LN(H43)-LN(H42))*100</calculatedColumnFormula>
    </tableColumn>
    <tableColumn id="12" xr3:uid="{0E1E71CD-3201-4425-A029-675223D45125}" name="Capital stock (net) growth rates (ln), in %  (note 4)" dataDxfId="346">
      <calculatedColumnFormula>(LN(J43)-LN(J42))*100</calculatedColumnFormula>
    </tableColumn>
    <tableColumn id="7" xr3:uid="{562158F2-4A5B-47E3-88EC-71D29FFA95AF}" name="Divisia labour income shares (note 3)" dataDxfId="345">
      <calculatedColumnFormula>(K9+K8)/2</calculatedColumnFormula>
    </tableColumn>
    <tableColumn id="8" xr3:uid="{57EE7B4B-167E-4400-BE55-1FDB44A143C8}" name="Divisia capital  income shares (note 3)" dataDxfId="344">
      <calculatedColumnFormula>(L9+L8)/2</calculatedColumnFormula>
    </tableColumn>
    <tableColumn id="9" xr3:uid="{4564399B-79EB-4658-BE54-795EFAB95664}" name="Labour income shares (note 2)" dataDxfId="343">
      <calculatedColumnFormula>O9*(P9/Q9)/M9</calculatedColumnFormula>
    </tableColumn>
    <tableColumn id="10" xr3:uid="{F68F03FE-7A4C-4362-8EAD-FC8413C7A4CE}" name="Capital income shares" dataDxfId="342">
      <calculatedColumnFormula>1-K9</calculatedColumnFormula>
    </tableColumn>
    <tableColumn id="13" xr3:uid="{540FB8F4-83A3-4964-9C80-E4FB51B88A52}" name="Value added - Current prices " dataDxfId="341" dataCellStyle="Normal 2 2"/>
    <tableColumn id="14" xr3:uid="{F76A140C-F360-41B7-8116-350E595EB80F}" name="Value added - Chain linked volumes, 2020" dataDxfId="340" dataCellStyle="Normal 2 2"/>
    <tableColumn id="15" xr3:uid="{603A33E4-B068-4C3F-8347-199B90686407}" name="Compensation of employees" dataDxfId="339" dataCellStyle="Normal 2 2"/>
    <tableColumn id="16" xr3:uid="{4AB57127-98AB-4E26-931B-C3665B97A380}" name="Hours worked - total employment" dataDxfId="338" dataCellStyle="Normal 2 2"/>
    <tableColumn id="17" xr3:uid="{77855C5E-DDF6-401E-8864-D54D6ED9E6F8}" name="Hours worked employees" dataDxfId="337" dataCellStyle="Normal 2 2"/>
    <tableColumn id="18" xr3:uid="{6FDB6D45-9E8F-4A75-900E-EECD719F3AEF}" name="Capital stock (net) - Chain linked volumes, 2020" dataDxfId="336" dataCellStyle="Normal 2 2"/>
  </tableColumns>
  <tableStyleInfo name="TableStyleLight2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835EB94-9CFB-4F62-9FB0-7661CD0F705E}" name="MFP_5232456789101112131415" displayName="MFP_5232456789101112131415" ref="A8:R30" totalsRowShown="0" headerRowDxfId="335" dataDxfId="334" tableBorderDxfId="333">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ECF29F0D-CAF7-45BC-B37A-9D8F8CFE3D1B}" name="Year" dataDxfId="332">
      <calculatedColumnFormula>A8+1</calculatedColumnFormula>
    </tableColumn>
    <tableColumn id="2" xr3:uid="{5F5D8971-E88C-4308-9015-9083BAB71632}" name="MFP index (2020=1)" dataDxfId="331"/>
    <tableColumn id="3" xr3:uid="{2B73BF22-D258-4484-B708-4A32068ADF69}" name="MFP growth contribution (note 1)" dataDxfId="330"/>
    <tableColumn id="4" xr3:uid="{FAC69E5C-412B-4029-8B8F-922EE501D29C}" name="Value added growth rates (ln), in % (note 1)" dataDxfId="329"/>
    <tableColumn id="5" xr3:uid="{99511C62-771C-4780-B64A-98633E77E505}" name="Hours worked growth contribution (note 1)" dataDxfId="328"/>
    <tableColumn id="6" xr3:uid="{AE40F943-23AD-412F-A0C4-F05775FD8172}" name="Capital stock (net) growth contribution (note 1)" dataDxfId="327"/>
    <tableColumn id="11" xr3:uid="{888B1379-6DE2-4C16-8B3C-6C61A1423052}" name="Hours worked growth rates (ln), in % (note 4)" dataDxfId="326">
      <calculatedColumnFormula>(LN(H43)-LN(H42))*100</calculatedColumnFormula>
    </tableColumn>
    <tableColumn id="12" xr3:uid="{A22ACF10-A8BC-4AA2-8723-F0ED6DEE8BEE}" name="Capital stock (net) growth rates (ln), in %  (note 4)" dataDxfId="325">
      <calculatedColumnFormula>(LN(J43)-LN(J42))*100</calculatedColumnFormula>
    </tableColumn>
    <tableColumn id="7" xr3:uid="{9161DC20-81C2-4C64-804B-BB284B47A1C8}" name="Divisia labour income shares (note 3)" dataDxfId="324">
      <calculatedColumnFormula>(K9+K8)/2</calculatedColumnFormula>
    </tableColumn>
    <tableColumn id="8" xr3:uid="{2D3FF5C5-7E23-484F-AF15-37014BA069AB}" name="Divisia capital  income shares (note 3)" dataDxfId="323">
      <calculatedColumnFormula>(L9+L8)/2</calculatedColumnFormula>
    </tableColumn>
    <tableColumn id="9" xr3:uid="{FB900123-EE3C-4228-BFCB-D9539EC8486E}" name="Labour income shares (note 2)" dataDxfId="322">
      <calculatedColumnFormula>O9*(P9/Q9)/M9</calculatedColumnFormula>
    </tableColumn>
    <tableColumn id="10" xr3:uid="{C7C05FF9-B8C7-4D6A-8E4C-E1417FDBAB84}" name="Capital income shares" dataDxfId="321">
      <calculatedColumnFormula>1-K9</calculatedColumnFormula>
    </tableColumn>
    <tableColumn id="13" xr3:uid="{3CABC00D-0C64-4A8E-BF57-1CE5040FB1DB}" name="Value added - Current prices " dataDxfId="320" dataCellStyle="Normal 2 2"/>
    <tableColumn id="14" xr3:uid="{BC3128D7-C7EA-4148-BFBF-4C68652EC384}" name="Value added - Chain linked volumes, 2020" dataDxfId="319" dataCellStyle="Normal 2 2"/>
    <tableColumn id="15" xr3:uid="{8192424A-CA96-4A22-98AF-6474F1D5BFDB}" name="Compensation of employees" dataDxfId="318" dataCellStyle="Normal 2 2"/>
    <tableColumn id="16" xr3:uid="{F0AD8FD7-059A-46E7-9D09-128435C4D7AC}" name="Hours worked - total employment" dataDxfId="317" dataCellStyle="Normal 2 2"/>
    <tableColumn id="17" xr3:uid="{2F3555D8-D040-4BC1-92EE-9759FED47077}" name="Hours worked employees" dataDxfId="316" dataCellStyle="Normal 2 2"/>
    <tableColumn id="18" xr3:uid="{31F8E028-563F-4C75-B9C7-8D6A1AFEDC3E}" name="Capital stock (net) - Chain linked volumes, 2020" dataDxfId="315" dataCellStyle="Normal 2 2"/>
  </tableColumns>
  <tableStyleInfo name="TableStyleLight2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86581E-746A-4CB0-8CD7-F1D7E4EC3F7E}" name="MFP_523245678910111213141516" displayName="MFP_523245678910111213141516" ref="A8:R30" totalsRowShown="0" headerRowDxfId="314" dataDxfId="313" tableBorderDxfId="312">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27E9F95A-9687-44D0-B8D1-ABD6693DCE7B}" name="Year" dataDxfId="311">
      <calculatedColumnFormula>A8+1</calculatedColumnFormula>
    </tableColumn>
    <tableColumn id="2" xr3:uid="{D4BCC610-41FC-42AC-BB9E-AA3BFCF6FAB9}" name="MFP index (2020=1)" dataDxfId="310"/>
    <tableColumn id="3" xr3:uid="{6D03D69C-43E5-4C69-85D0-9F5F495A7FB9}" name="MFP growth contribution (note 1)" dataDxfId="309"/>
    <tableColumn id="4" xr3:uid="{20D8F918-ED40-4670-AD35-F3FB1BF35955}" name="Value added growth rates (ln), in % (note 1)" dataDxfId="308"/>
    <tableColumn id="5" xr3:uid="{2E1777CB-8A30-488B-A5F7-4CC240F44AB1}" name="Hours worked growth contribution (note 1)" dataDxfId="307"/>
    <tableColumn id="6" xr3:uid="{2C57833F-126B-4CAF-AD1A-3E1453AC9779}" name="Capital stock (net) growth contribution (note 1)" dataDxfId="306"/>
    <tableColumn id="11" xr3:uid="{AAFF9E1F-8A28-48C6-BB8A-23A16EF8585D}" name="Hours worked growth rates (ln), in % (note 4)" dataDxfId="305">
      <calculatedColumnFormula>(LN(H43)-LN(H42))*100</calculatedColumnFormula>
    </tableColumn>
    <tableColumn id="12" xr3:uid="{72F2924A-5F36-4C4E-8094-BC2A41447A9D}" name="Capital stock (net) growth rates (ln), in %  (note 4)" dataDxfId="304">
      <calculatedColumnFormula>(LN(J43)-LN(J42))*100</calculatedColumnFormula>
    </tableColumn>
    <tableColumn id="7" xr3:uid="{86E53EF2-628C-44F6-9D02-1A117B4E4A16}" name="Divisia labour income shares (note 3)" dataDxfId="303">
      <calculatedColumnFormula>(K9+K8)/2</calculatedColumnFormula>
    </tableColumn>
    <tableColumn id="8" xr3:uid="{97E3059C-ACF3-48D3-A7B8-9847E85C30E3}" name="Divisia capital  income shares (note 3)" dataDxfId="302">
      <calculatedColumnFormula>(L9+L8)/2</calculatedColumnFormula>
    </tableColumn>
    <tableColumn id="9" xr3:uid="{E9A48C1E-BE4A-4744-9B8E-D658F67EF09C}" name="Labour income shares (note 2)" dataDxfId="301">
      <calculatedColumnFormula>O9*(P9/Q9)/M9</calculatedColumnFormula>
    </tableColumn>
    <tableColumn id="10" xr3:uid="{B12F4A3E-2A45-44A1-B590-0F685E6E007B}" name="Capital income shares" dataDxfId="300">
      <calculatedColumnFormula>1-K9</calculatedColumnFormula>
    </tableColumn>
    <tableColumn id="13" xr3:uid="{9718CB91-783A-436D-9B9B-4CA219B7FD0B}" name="Value added - Current prices " dataDxfId="299" dataCellStyle="Normal 2 2"/>
    <tableColumn id="14" xr3:uid="{36F13F20-6B3E-4FF2-8B58-1D3937B4BBE5}" name="Value added - Chain linked volumes, 2020" dataDxfId="298" dataCellStyle="Normal 2 2"/>
    <tableColumn id="15" xr3:uid="{96C6B816-4B5F-4842-850C-EF3AE31373CF}" name="Compensation of employees" dataDxfId="297" dataCellStyle="Normal 2 2"/>
    <tableColumn id="16" xr3:uid="{9D6D6257-0BA3-41F9-9A33-B2B6AA019BAE}" name="Hours worked - total employment" dataDxfId="296" dataCellStyle="Normal 2 2"/>
    <tableColumn id="17" xr3:uid="{CA1E3B7E-7E64-4BCB-8C2F-211D13994407}" name="Hours worked employees" dataDxfId="295" dataCellStyle="Normal 2 2"/>
    <tableColumn id="18" xr3:uid="{80817C07-5C1B-40AF-A323-27F7990272B9}" name="Capital stock (net) - Chain linked volumes, 2020" dataDxfId="294" dataCellStyle="Normal 2 2"/>
  </tableColumns>
  <tableStyleInfo name="TableStyleLight2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E5EA85-DD73-429E-84CE-6856942C231F}" name="MFP_52324567891011121314151617" displayName="MFP_52324567891011121314151617" ref="A8:R30" totalsRowShown="0" headerRowDxfId="293" dataDxfId="292" tableBorderDxfId="291">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DB60BDBC-6D56-430F-A0C1-523858274F82}" name="Year" dataDxfId="290">
      <calculatedColumnFormula>A8+1</calculatedColumnFormula>
    </tableColumn>
    <tableColumn id="2" xr3:uid="{C77333B1-9F93-4DD6-88D3-6776E5D7B012}" name="MFP index (2020=1)" dataDxfId="289"/>
    <tableColumn id="3" xr3:uid="{D9466AD5-AF6E-4EE8-B8A1-82709E3D69A3}" name="MFP growth contribution (note 1)" dataDxfId="288"/>
    <tableColumn id="4" xr3:uid="{EE8C2B5C-DD72-4737-9DC9-53BCD9C7A516}" name="Value added growth rates (ln), in % (note 1)" dataDxfId="287"/>
    <tableColumn id="5" xr3:uid="{6F42BA13-6BA3-4FD0-9A98-77A1D96E7A8C}" name="Hours worked growth contribution (note 1)" dataDxfId="286"/>
    <tableColumn id="6" xr3:uid="{AD95C368-2B26-46E7-A2CB-2D166FA5DF73}" name="Capital stock (net) growth contribution (note 1)" dataDxfId="285"/>
    <tableColumn id="11" xr3:uid="{AC76597C-C2D1-4B79-898A-0BF87CE39A94}" name="Hours worked growth rates (ln), in % (note 4)" dataDxfId="284">
      <calculatedColumnFormula>(LN(H43)-LN(H42))*100</calculatedColumnFormula>
    </tableColumn>
    <tableColumn id="12" xr3:uid="{14A5D5BA-57C0-4795-B93E-D64B1D571FB1}" name="Capital stock (net) growth rates (ln), in %  (note 4)" dataDxfId="283">
      <calculatedColumnFormula>(LN(J43)-LN(J42))*100</calculatedColumnFormula>
    </tableColumn>
    <tableColumn id="7" xr3:uid="{B7561229-B571-4037-865F-FC3EDAFAA75E}" name="Divisia labour income shares (note 3)" dataDxfId="282">
      <calculatedColumnFormula>(K9+K8)/2</calculatedColumnFormula>
    </tableColumn>
    <tableColumn id="8" xr3:uid="{686064CC-3243-4F6B-8A23-48F5808AA5F8}" name="Divisia capital  income shares (note 3)" dataDxfId="281">
      <calculatedColumnFormula>(L9+L8)/2</calculatedColumnFormula>
    </tableColumn>
    <tableColumn id="9" xr3:uid="{E7EBEBBD-8DE4-4744-880E-BB1EABEC452F}" name="Labour income shares (note 2)" dataDxfId="280">
      <calculatedColumnFormula>O9*(P9/Q9)/M9</calculatedColumnFormula>
    </tableColumn>
    <tableColumn id="10" xr3:uid="{A013FB97-8321-47F4-A048-9C353C8D6CFA}" name="Capital income shares" dataDxfId="279">
      <calculatedColumnFormula>1-K9</calculatedColumnFormula>
    </tableColumn>
    <tableColumn id="13" xr3:uid="{FDB4DD4B-44B4-4DCA-AED4-603D369E4DB1}" name="Value added - Current prices " dataDxfId="278" dataCellStyle="Normal 2 2"/>
    <tableColumn id="14" xr3:uid="{BA11311B-D940-4F3F-B477-CD31B508D363}" name="Value added - Chain linked volumes, 2020" dataDxfId="277" dataCellStyle="Normal 2 2"/>
    <tableColumn id="15" xr3:uid="{FC153A60-6053-49EC-B06D-8452E10EAF61}" name="Compensation of employees" dataDxfId="276" dataCellStyle="Normal 2 2"/>
    <tableColumn id="16" xr3:uid="{9BA9677D-92F7-4917-88F4-D7B2702C15E3}" name="Hours worked - total employment" dataDxfId="275" dataCellStyle="Normal 2 2"/>
    <tableColumn id="17" xr3:uid="{5062C020-6148-41AF-A58B-ECECF3F14635}" name="Hours worked employees" dataDxfId="274" dataCellStyle="Normal 2 2"/>
    <tableColumn id="18" xr3:uid="{E36440C7-1793-421D-92E1-02E4B17F4939}" name="Capital stock (net) - Chain linked volumes, 2020" dataDxfId="273" dataCellStyle="Normal 2 2"/>
  </tableColumns>
  <tableStyleInfo name="TableStyleLight2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F369386-E91C-4E3B-84BD-47FDDA226211}" name="MFP_5232456789101112131415161718" displayName="MFP_5232456789101112131415161718" ref="A8:R30" totalsRowShown="0" headerRowDxfId="272" dataDxfId="271" tableBorderDxfId="270">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C308E7BF-1E8C-4791-8305-BB6AA5A29710}" name="Year" dataDxfId="269">
      <calculatedColumnFormula>A8+1</calculatedColumnFormula>
    </tableColumn>
    <tableColumn id="2" xr3:uid="{56E39DF7-75BD-47E0-A2F7-E9A24DC7078A}" name="MFP index (2020=1)" dataDxfId="268"/>
    <tableColumn id="3" xr3:uid="{CBFC32C5-A759-4FE0-80DB-F3A2EC3D6B74}" name="MFP growth contribution (note 1)" dataDxfId="267"/>
    <tableColumn id="4" xr3:uid="{791A9D69-DCD0-4E28-99D6-53BF4C18A086}" name="Value added growth rates (ln), in % (note 1)" dataDxfId="266"/>
    <tableColumn id="5" xr3:uid="{8F3B747C-9BA2-45C5-A212-AC722FCF6B59}" name="Hours worked growth contribution (note 1)" dataDxfId="265"/>
    <tableColumn id="6" xr3:uid="{DBB01B71-1B91-4FB6-8367-1E71F8031BB2}" name="Capital stock (net) growth contribution (note 1)" dataDxfId="264"/>
    <tableColumn id="11" xr3:uid="{ABF0EAC4-BB1E-4839-8FC0-E3BC79AEC6BD}" name="Hours worked growth rates (ln), in % (note 4)" dataDxfId="263">
      <calculatedColumnFormula>(LN(H43)-LN(H42))*100</calculatedColumnFormula>
    </tableColumn>
    <tableColumn id="12" xr3:uid="{189D1F7B-3F79-460D-B19B-19FA4DAF56CC}" name="Capital stock (net) growth rates (ln), in %  (note 4)" dataDxfId="262">
      <calculatedColumnFormula>(LN(J43)-LN(J42))*100</calculatedColumnFormula>
    </tableColumn>
    <tableColumn id="7" xr3:uid="{A6FFC2B8-97F7-468F-A58F-B6F720131921}" name="Divisia labour income shares (note 3)" dataDxfId="261">
      <calculatedColumnFormula>(K9+K8)/2</calculatedColumnFormula>
    </tableColumn>
    <tableColumn id="8" xr3:uid="{335F079D-CFCA-4741-B266-FDFFC5AC726D}" name="Divisia capital  income shares (note 3)" dataDxfId="260">
      <calculatedColumnFormula>(L9+L8)/2</calculatedColumnFormula>
    </tableColumn>
    <tableColumn id="9" xr3:uid="{80F171A6-4D0B-4F0B-A6F4-49FE0F9D5285}" name="Labour income shares (note 2)" dataDxfId="259">
      <calculatedColumnFormula>O9*(P9/Q9)/M9</calculatedColumnFormula>
    </tableColumn>
    <tableColumn id="10" xr3:uid="{EF399303-361E-4A92-BB05-6B41AA4F3B02}" name="Capital income shares" dataDxfId="258">
      <calculatedColumnFormula>1-K9</calculatedColumnFormula>
    </tableColumn>
    <tableColumn id="13" xr3:uid="{27FDCE8A-5FFE-4A55-9200-6D6A52AC7FF1}" name="Value added - Current prices " dataDxfId="257" dataCellStyle="Normal 2 2"/>
    <tableColumn id="14" xr3:uid="{E3A707F3-EADE-4A30-BDA7-77DD6D511ECA}" name="Value added - Chain linked volumes, 2020" dataDxfId="256" dataCellStyle="Normal 2 2"/>
    <tableColumn id="15" xr3:uid="{8C3ADCAB-E51F-4CF7-A509-61FF5408B384}" name="Compensation of employees" dataDxfId="255" dataCellStyle="Normal 2 2"/>
    <tableColumn id="16" xr3:uid="{8474E2C2-D3AC-49EA-9EE6-32B1A6AD27BD}" name="Hours worked - total employment" dataDxfId="254" dataCellStyle="Normal 2 2"/>
    <tableColumn id="17" xr3:uid="{68883209-7DDC-4360-BF71-704C9653C08E}" name="Hours worked employees" dataDxfId="253" dataCellStyle="Normal 2 2"/>
    <tableColumn id="18" xr3:uid="{7AFA56B4-030F-44AD-8339-F61AE14674E9}" name="Capital stock (net) - Chain linked volumes, 2020" dataDxfId="252" dataCellStyle="Normal 2 2"/>
  </tableColumns>
  <tableStyleInfo name="TableStyleLight2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7D424B2-FBA1-41F4-8740-3A479E225DC0}" name="MFP_523245678910111213141516171819" displayName="MFP_523245678910111213141516171819" ref="A8:R30" totalsRowShown="0" headerRowDxfId="251" dataDxfId="250" tableBorderDxfId="249">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9D479447-1C96-4F72-A85B-48DBA37E37CB}" name="Year" dataDxfId="248">
      <calculatedColumnFormula>A8+1</calculatedColumnFormula>
    </tableColumn>
    <tableColumn id="2" xr3:uid="{25345F32-4271-4E79-8CCD-BDAA05AB5E7A}" name="MFP index (2020=1)" dataDxfId="247"/>
    <tableColumn id="3" xr3:uid="{55872F39-3271-40CC-857A-06F4CFD4BBB4}" name="MFP growth contribution (note 1)" dataDxfId="246"/>
    <tableColumn id="4" xr3:uid="{37235377-3ABE-470E-A817-525DA23A12A7}" name="Value added growth rates (ln), in % (note 1)" dataDxfId="245"/>
    <tableColumn id="5" xr3:uid="{1E10BC5D-24FC-48AC-A8EE-9D4BC0D3A2D8}" name="Hours worked growth contribution (note 1)" dataDxfId="244"/>
    <tableColumn id="6" xr3:uid="{4F51C389-629D-4D0D-A554-D0BBFFB6830E}" name="Capital stock (net) growth contribution (note 1)" dataDxfId="243"/>
    <tableColumn id="11" xr3:uid="{82611E6E-30F7-4D39-8731-D820BE2CE296}" name="Hours worked growth rates (ln), in % (note 4)" dataDxfId="242">
      <calculatedColumnFormula>(LN(H43)-LN(H42))*100</calculatedColumnFormula>
    </tableColumn>
    <tableColumn id="12" xr3:uid="{16A6324A-1297-4D17-8ED2-E5DAA2BEBB81}" name="Capital stock (net) growth rates (ln), in %  (note 4)" dataDxfId="241">
      <calculatedColumnFormula>(LN(J43)-LN(J42))*100</calculatedColumnFormula>
    </tableColumn>
    <tableColumn id="7" xr3:uid="{AC106145-E1B6-4D16-A43B-62AC158B0B2F}" name="Divisia labour income shares (note 3)" dataDxfId="240">
      <calculatedColumnFormula>(K9+K8)/2</calculatedColumnFormula>
    </tableColumn>
    <tableColumn id="8" xr3:uid="{FBEA7388-389A-4C32-97B4-68D9B9FA4F44}" name="Divisia capital  income shares (note 3)" dataDxfId="239">
      <calculatedColumnFormula>(L9+L8)/2</calculatedColumnFormula>
    </tableColumn>
    <tableColumn id="9" xr3:uid="{BCB3747A-F4C6-48E8-8AA9-6177A0F90BF4}" name="Labour income shares (note 2)" dataDxfId="238">
      <calculatedColumnFormula>O9*(P9/Q9)/M9</calculatedColumnFormula>
    </tableColumn>
    <tableColumn id="10" xr3:uid="{6EF1527D-F0AA-4809-A1C8-955DCF5AF6FE}" name="Capital income shares" dataDxfId="237">
      <calculatedColumnFormula>1-K9</calculatedColumnFormula>
    </tableColumn>
    <tableColumn id="13" xr3:uid="{8650CF10-ECC9-41F3-A57B-BC16193E4C85}" name="Value added - Current prices " dataDxfId="236" dataCellStyle="Normal 2 2"/>
    <tableColumn id="14" xr3:uid="{8A50C840-A93F-429D-9A42-9EA4976B847A}" name="Value added - Chain linked volumes, 2020" dataDxfId="235" dataCellStyle="Normal 2 2"/>
    <tableColumn id="15" xr3:uid="{2705E6F7-878C-4EF5-8962-00E6AD89632F}" name="Compensation of employees" dataDxfId="234" dataCellStyle="Normal 2 2"/>
    <tableColumn id="16" xr3:uid="{45F98FAB-C45E-4491-AA07-6069B6519557}" name="Hours worked - total employment" dataDxfId="233" dataCellStyle="Normal 2 2"/>
    <tableColumn id="17" xr3:uid="{8745ECBF-C714-4382-96E1-46A193C1B5E7}" name="Hours worked employees" dataDxfId="232" dataCellStyle="Normal 2 2"/>
    <tableColumn id="18" xr3:uid="{9A05C18E-ABC1-4A75-9D38-EDD37DEB0094}" name="Capital stock (net) - Chain linked volumes, 2020" dataDxfId="231" dataCellStyle="Normal 2 2"/>
  </tableColumns>
  <tableStyleInfo name="TableStyleLight2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72F281-8932-4A20-9962-343E4C754BEE}" name="MFP_52324567891011121314151617181920" displayName="MFP_52324567891011121314151617181920" ref="A8:R30" totalsRowShown="0" headerRowDxfId="230" dataDxfId="229" tableBorderDxfId="228">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2CF0551-DCB1-4158-AD62-F5D89ED6D318}" name="Year" dataDxfId="227">
      <calculatedColumnFormula>A8+1</calculatedColumnFormula>
    </tableColumn>
    <tableColumn id="2" xr3:uid="{ABDDFC8A-B21D-4079-9C58-E20C6B70D67B}" name="MFP index (2020=1)" dataDxfId="226"/>
    <tableColumn id="3" xr3:uid="{964798CF-F383-43E8-8950-57BE0F5F59E5}" name="MFP growth contribution (note 1)" dataDxfId="225"/>
    <tableColumn id="4" xr3:uid="{56498EFC-8B28-43D8-ACC6-DC62F5CFB6DF}" name="Value added growth rates (ln), in % (note 1)" dataDxfId="224"/>
    <tableColumn id="5" xr3:uid="{5CD59D27-B485-4908-B206-C5A046652D5B}" name="Hours worked growth contribution (note 1)" dataDxfId="223"/>
    <tableColumn id="6" xr3:uid="{A6DE230C-3AB6-4E67-825B-036624994076}" name="Capital stock (net) growth contribution (note 1)" dataDxfId="222"/>
    <tableColumn id="11" xr3:uid="{92C99D55-C58C-4006-8F7B-FA08D098463B}" name="Hours worked growth rates (ln), in % (note 4)" dataDxfId="221">
      <calculatedColumnFormula>(LN(H43)-LN(H42))*100</calculatedColumnFormula>
    </tableColumn>
    <tableColumn id="12" xr3:uid="{1CA0EAE6-D4BE-4F55-9B9D-D4C4072CA59A}" name="Capital stock (net) growth rates (ln), in %  (note 4)" dataDxfId="220">
      <calculatedColumnFormula>(LN(J43)-LN(J42))*100</calculatedColumnFormula>
    </tableColumn>
    <tableColumn id="7" xr3:uid="{485FE15F-68A6-4F28-84B1-BD37329BFA38}" name="Divisia labour income shares (note 3)" dataDxfId="219">
      <calculatedColumnFormula>(K9+K8)/2</calculatedColumnFormula>
    </tableColumn>
    <tableColumn id="8" xr3:uid="{671F45CF-7EC3-4C7D-801C-7C6A489EABAF}" name="Divisia capital  income shares (note 3)" dataDxfId="218">
      <calculatedColumnFormula>(L9+L8)/2</calculatedColumnFormula>
    </tableColumn>
    <tableColumn id="9" xr3:uid="{0BA33A52-A5FC-4A5F-A04E-D07DAD52962C}" name="Labour income shares (note 2)" dataDxfId="217">
      <calculatedColumnFormula>O9*(P9/Q9)/M9</calculatedColumnFormula>
    </tableColumn>
    <tableColumn id="10" xr3:uid="{55A20F48-71DD-477D-9E10-B409D1E157B9}" name="Capital income shares" dataDxfId="216">
      <calculatedColumnFormula>1-K9</calculatedColumnFormula>
    </tableColumn>
    <tableColumn id="13" xr3:uid="{81BE430A-D12B-4F79-A6C8-8971FD572594}" name="Value added - Current prices " dataDxfId="215" dataCellStyle="Normal 2 2"/>
    <tableColumn id="14" xr3:uid="{2EDA50AE-018A-4F9F-B2EE-267A6456DCC1}" name="Value added - Chain linked volumes, 2020" dataDxfId="214" dataCellStyle="Normal 2 2"/>
    <tableColumn id="15" xr3:uid="{8BD3627B-6BD4-41D8-BEC2-393F1609A277}" name="Compensation of employees" dataDxfId="213" dataCellStyle="Normal 2 2"/>
    <tableColumn id="16" xr3:uid="{2F65AA68-CD30-43EC-95DE-E217F798A570}" name="Hours worked - total employment" dataDxfId="212" dataCellStyle="Normal 2 2"/>
    <tableColumn id="17" xr3:uid="{4BDF4F28-76DC-4069-804C-19456C9ACA5A}" name="Hours worked employees" dataDxfId="211" dataCellStyle="Normal 2 2"/>
    <tableColumn id="18" xr3:uid="{5EF360C4-B323-46AD-B876-D01FE0E7DB10}" name="Capital stock (net) - Chain linked volumes, 2020" dataDxfId="210" dataCellStyle="Normal 2 2"/>
  </tableColumns>
  <tableStyleInfo name="TableStyleLight2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616C753-ED3D-4EA9-A522-8806345E64FD}" name="MFP_5232456789101112131415161718192021" displayName="MFP_5232456789101112131415161718192021" ref="A8:R30" totalsRowShown="0" headerRowDxfId="209" dataDxfId="208" tableBorderDxfId="207">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F2DD3212-22B3-4544-B2A1-26C97D85332F}" name="Year" dataDxfId="206">
      <calculatedColumnFormula>A8+1</calculatedColumnFormula>
    </tableColumn>
    <tableColumn id="2" xr3:uid="{D1397384-D9E6-459D-BF22-0180DC5C8C8F}" name="MFP index (2020=1)" dataDxfId="205"/>
    <tableColumn id="3" xr3:uid="{AF5F6EBE-F7C9-4079-9EE5-FE38D5E6564F}" name="MFP growth contribution (note 1)" dataDxfId="204"/>
    <tableColumn id="4" xr3:uid="{64E2911F-CC94-4F02-BF4B-4D5CA84878D7}" name="Value added growth rates (ln), in % (note 1)" dataDxfId="203"/>
    <tableColumn id="5" xr3:uid="{DDA825AB-FE66-4DD4-A83B-4C7FFAAD7EEF}" name="Hours worked growth contribution (note 1)" dataDxfId="202"/>
    <tableColumn id="6" xr3:uid="{A98B4C3E-02C8-49C0-A2B3-85E1D19A3212}" name="Capital stock (net) growth contribution (note 1)" dataDxfId="201"/>
    <tableColumn id="11" xr3:uid="{0B0973A6-0AB2-4534-B4E2-F3F0F9F6D5EF}" name="Hours worked growth rates (ln), in % (note 4)" dataDxfId="200">
      <calculatedColumnFormula>(LN(H43)-LN(H42))*100</calculatedColumnFormula>
    </tableColumn>
    <tableColumn id="12" xr3:uid="{E09E4E1B-B0F2-4979-AD5D-1F02BE271494}" name="Capital stock (net) growth rates (ln), in %  (note 4)" dataDxfId="199">
      <calculatedColumnFormula>(LN(J43)-LN(J42))*100</calculatedColumnFormula>
    </tableColumn>
    <tableColumn id="7" xr3:uid="{765E1BE9-33E4-4516-9C24-6004DB04EA4B}" name="Divisia labour income shares (note 3)" dataDxfId="198">
      <calculatedColumnFormula>(K9+K8)/2</calculatedColumnFormula>
    </tableColumn>
    <tableColumn id="8" xr3:uid="{2C389CFB-B294-4CC7-8F58-1172022E4801}" name="Divisia capital  income shares (note 3)" dataDxfId="197">
      <calculatedColumnFormula>(L9+L8)/2</calculatedColumnFormula>
    </tableColumn>
    <tableColumn id="9" xr3:uid="{6D432180-C956-4838-8334-3CE747C72A9A}" name="Labour income shares (note 2)" dataDxfId="196">
      <calculatedColumnFormula>O9*(P9/Q9)/M9</calculatedColumnFormula>
    </tableColumn>
    <tableColumn id="10" xr3:uid="{BDFBBA0C-B946-4590-A1C0-18ABD3B8A461}" name="Capital income shares" dataDxfId="195">
      <calculatedColumnFormula>1-K9</calculatedColumnFormula>
    </tableColumn>
    <tableColumn id="13" xr3:uid="{9BBB4B09-1D56-4856-AC19-3B0FB1D21AA7}" name="Value added - Current prices " dataDxfId="194" dataCellStyle="Normal 2 2"/>
    <tableColumn id="14" xr3:uid="{667C2908-14C5-46D2-9CC1-464BA010C8E3}" name="Value added - Chain linked volumes, 2020" dataDxfId="193" dataCellStyle="Normal 2 2"/>
    <tableColumn id="15" xr3:uid="{0EC9CC24-AEC5-4058-8470-3DAFCEE4CB09}" name="Compensation of employees" dataDxfId="192" dataCellStyle="Normal 2 2"/>
    <tableColumn id="16" xr3:uid="{654ADBA2-A3AA-49C3-B0A6-3EB3BD9D2389}" name="Hours worked - total employment" dataDxfId="191" dataCellStyle="Normal 2 2"/>
    <tableColumn id="17" xr3:uid="{C97E79B1-D908-4037-BEC1-C002DDE9F73A}" name="Hours worked employees" dataDxfId="190" dataCellStyle="Normal 2 2"/>
    <tableColumn id="18" xr3:uid="{C94A5956-206D-4BE0-A0DA-81CF5C90B6B8}" name="Capital stock (net) - Chain linked volumes, 2020" dataDxfId="189" dataCellStyle="Normal 2 2"/>
  </tableColumns>
  <tableStyleInfo name="TableStyleLight20"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CF2A9EF-64BD-4CA4-A9B1-F6AB051540AD}" name="MFP_523245678910111213141516171819202122" displayName="MFP_523245678910111213141516171819202122" ref="A8:R30" totalsRowShown="0" headerRowDxfId="188" dataDxfId="187" tableBorderDxfId="186">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15A56C37-8FED-43B0-9278-45E3ABD72F8F}" name="Year" dataDxfId="185">
      <calculatedColumnFormula>A8+1</calculatedColumnFormula>
    </tableColumn>
    <tableColumn id="2" xr3:uid="{6F7422A7-D128-4C0D-8492-EABCD701B627}" name="MFP index (2020=1)" dataDxfId="184"/>
    <tableColumn id="3" xr3:uid="{3FCF65C6-7E66-435C-A46E-1DAADB6D94EE}" name="MFP growth contribution (note 1)" dataDxfId="183"/>
    <tableColumn id="4" xr3:uid="{1EDDD934-F175-430A-B1C9-CF955D5ED45C}" name="Value added growth rates (ln), in % (note 1)" dataDxfId="182"/>
    <tableColumn id="5" xr3:uid="{1B3F4729-CDFD-4031-ACDC-E4494978755B}" name="Hours worked growth contribution (note 1)" dataDxfId="181"/>
    <tableColumn id="6" xr3:uid="{CAC1CFC7-BABC-445D-B06E-AE1C63347CFF}" name="Capital stock (net) growth contribution (note 1)" dataDxfId="180"/>
    <tableColumn id="11" xr3:uid="{654CC2FD-5D7D-4B69-8817-FCD037DDC7BE}" name="Hours worked growth rates (ln), in % (note 4)" dataDxfId="179">
      <calculatedColumnFormula>(LN(H43)-LN(H42))*100</calculatedColumnFormula>
    </tableColumn>
    <tableColumn id="12" xr3:uid="{AC14BB5B-33C3-4E1A-AF9D-6748E15A1B5F}" name="Capital stock (net) growth rates (ln), in %  (note 4)" dataDxfId="178">
      <calculatedColumnFormula>(LN(J43)-LN(J42))*100</calculatedColumnFormula>
    </tableColumn>
    <tableColumn id="7" xr3:uid="{157A69DE-F903-48EB-8C6C-96236AB56E64}" name="Divisia labour income shares (note 3)" dataDxfId="177">
      <calculatedColumnFormula>(K9+K8)/2</calculatedColumnFormula>
    </tableColumn>
    <tableColumn id="8" xr3:uid="{904A9B29-FB3F-45AB-8642-B4378D89B04B}" name="Divisia capital  income shares (note 3)" dataDxfId="176">
      <calculatedColumnFormula>(L9+L8)/2</calculatedColumnFormula>
    </tableColumn>
    <tableColumn id="9" xr3:uid="{8C32387F-91EB-48D1-9E4A-68CE3098BC9E}" name="Labour income shares (note 2)" dataDxfId="175">
      <calculatedColumnFormula>O9*(P9/Q9)/M9</calculatedColumnFormula>
    </tableColumn>
    <tableColumn id="10" xr3:uid="{53921EF8-A7C4-4CC9-87D6-E0902720CF9C}" name="Capital income shares" dataDxfId="174">
      <calculatedColumnFormula>1-K9</calculatedColumnFormula>
    </tableColumn>
    <tableColumn id="13" xr3:uid="{96D2BDCB-D33D-45B4-85A0-8B069E52DE5B}" name="Value added - Current prices " dataDxfId="173" dataCellStyle="Normal 2 2"/>
    <tableColumn id="14" xr3:uid="{3A32ABD8-24C2-4417-B1BB-8D10F48EF56F}" name="Value added - Chain linked volumes, 2020" dataDxfId="172" dataCellStyle="Normal 2 2"/>
    <tableColumn id="15" xr3:uid="{9240312E-03AE-42A8-82EB-DA9924008440}" name="Compensation of employees" dataDxfId="171" dataCellStyle="Normal 2 2"/>
    <tableColumn id="16" xr3:uid="{1BA49754-25ED-40D3-B4DC-CA08EFC51461}" name="Hours worked - total employment" dataDxfId="170" dataCellStyle="Normal 2 2"/>
    <tableColumn id="17" xr3:uid="{5079144A-29D1-4988-8124-93368461B536}" name="Hours worked employees" dataDxfId="169" dataCellStyle="Normal 2 2"/>
    <tableColumn id="18" xr3:uid="{B4EDF9C2-9578-49C7-AB2B-CC7ABD203B9D}" name="Capital stock (net) - Chain linked volumes, 2020" dataDxfId="168" dataCellStyle="Normal 2 2"/>
  </tableColumns>
  <tableStyleInfo name="TableStyleLight2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5FCC47B-2C40-4324-B8AE-EA9F3BE3196F}" name="MFP_52324567891011121314151617181920212223" displayName="MFP_52324567891011121314151617181920212223" ref="A8:R30" totalsRowShown="0" headerRowDxfId="167" dataDxfId="166" tableBorderDxfId="165">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6DB4280-4F1D-4DDE-A43C-6CE50AA6099A}" name="Year" dataDxfId="164">
      <calculatedColumnFormula>A8+1</calculatedColumnFormula>
    </tableColumn>
    <tableColumn id="2" xr3:uid="{4070281C-077B-43DE-9B17-3458AF8A8A37}" name="MFP index (2020=1)" dataDxfId="163"/>
    <tableColumn id="3" xr3:uid="{1901E691-1108-4E7D-96B7-82853C3E9B42}" name="MFP growth contribution (note 1)" dataDxfId="162"/>
    <tableColumn id="4" xr3:uid="{4450FAB9-9C02-4C75-83BD-64DADB2C46E4}" name="Value added growth rates (ln), in % (note 1)" dataDxfId="161"/>
    <tableColumn id="5" xr3:uid="{9FE7F179-CC81-448A-80B6-5F2DA343BF68}" name="Hours worked growth contribution (note 1)" dataDxfId="160"/>
    <tableColumn id="6" xr3:uid="{77963ECE-489A-472A-AE61-E1530ECA897F}" name="Capital stock (net) growth contribution (note 1)" dataDxfId="159"/>
    <tableColumn id="11" xr3:uid="{A3F87FA2-9168-4B9E-9151-2E2EF150504A}" name="Hours worked growth rates (ln), in % (note 4)" dataDxfId="158">
      <calculatedColumnFormula>(LN(H43)-LN(H42))*100</calculatedColumnFormula>
    </tableColumn>
    <tableColumn id="12" xr3:uid="{D540A496-AACE-43A9-9CA8-188EFBDD3B99}" name="Capital stock (net) growth rates (ln), in %  (note 4)" dataDxfId="157">
      <calculatedColumnFormula>(LN(J43)-LN(J42))*100</calculatedColumnFormula>
    </tableColumn>
    <tableColumn id="7" xr3:uid="{92758A4D-664B-4560-A615-A420DB384467}" name="Divisia labour income shares (note 3)" dataDxfId="156">
      <calculatedColumnFormula>(K9+K8)/2</calculatedColumnFormula>
    </tableColumn>
    <tableColumn id="8" xr3:uid="{E7C0EB6A-0160-4DFD-8028-46991C853CF3}" name="Divisia capital  income shares (note 3)" dataDxfId="155">
      <calculatedColumnFormula>(L9+L8)/2</calculatedColumnFormula>
    </tableColumn>
    <tableColumn id="9" xr3:uid="{8FCC6FC2-8A29-4D46-B804-28C5617C541F}" name="Labour income shares (note 2)" dataDxfId="154">
      <calculatedColumnFormula>O9*(P9/Q9)/M9</calculatedColumnFormula>
    </tableColumn>
    <tableColumn id="10" xr3:uid="{B10932A0-15D9-4B11-B2F0-A8768F4FAF99}" name="Capital income shares" dataDxfId="153">
      <calculatedColumnFormula>1-K9</calculatedColumnFormula>
    </tableColumn>
    <tableColumn id="13" xr3:uid="{6260D922-8285-4B6E-BD87-72B8ECED6EA5}" name="Value added - Current prices " dataDxfId="152" dataCellStyle="Normal 2 2"/>
    <tableColumn id="14" xr3:uid="{551173C8-9F4A-4E97-82BE-4D7DC1025EDB}" name="Value added - Chain linked volumes, 2020" dataDxfId="151" dataCellStyle="Normal 2 2"/>
    <tableColumn id="15" xr3:uid="{04129267-3378-48A9-BADB-9630179A02B1}" name="Compensation of employees" dataDxfId="150" dataCellStyle="Normal 2 2"/>
    <tableColumn id="16" xr3:uid="{726D9FD2-0C15-4DA1-AB5C-9FAF59ADA694}" name="Hours worked - total employment" dataDxfId="149" dataCellStyle="Normal 2 2"/>
    <tableColumn id="17" xr3:uid="{C3C0C065-661F-48B7-B650-533648846684}" name="Hours worked employees" dataDxfId="148" dataCellStyle="Normal 2 2"/>
    <tableColumn id="18" xr3:uid="{20B64C7A-4036-4B80-80DB-D228B099F971}" name="Capital stock (net) - Chain linked volumes, 2020" dataDxfId="147" dataCellStyle="Normal 2 2"/>
  </tableColumns>
  <tableStyleInfo name="TableStyleLight2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F2B4B7D-618C-4FC4-AFEE-19E141532184}" name="MFP_5232456789101112131415161718192021222324" displayName="MFP_5232456789101112131415161718192021222324" ref="A8:R30" totalsRowShown="0" headerRowDxfId="146" dataDxfId="145" tableBorderDxfId="144">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397EE07-2EC1-445E-ABDE-325D8101B346}" name="Year" dataDxfId="143">
      <calculatedColumnFormula>A8+1</calculatedColumnFormula>
    </tableColumn>
    <tableColumn id="2" xr3:uid="{8FA09757-F0DF-45AA-B4B7-49829ACBD73A}" name="MFP index (2020=1)" dataDxfId="142"/>
    <tableColumn id="3" xr3:uid="{387EE577-C186-4372-B244-FB8139D0F24C}" name="MFP growth contribution (note 1)" dataDxfId="141"/>
    <tableColumn id="4" xr3:uid="{FB893D0D-BBE2-4280-A271-B893E7525D79}" name="Value added growth rates (ln), in % (note 1)" dataDxfId="140"/>
    <tableColumn id="5" xr3:uid="{7967BE9D-B2D7-419D-9A29-ECA660D02F99}" name="Hours worked growth contribution (note 1)" dataDxfId="139"/>
    <tableColumn id="6" xr3:uid="{1A9E017E-CB89-4CA2-B835-B5DB6F0F9650}" name="Capital stock (net) growth contribution (note 1)" dataDxfId="138"/>
    <tableColumn id="11" xr3:uid="{EBF57FEB-2AC0-424E-86E5-B97C8F9180E8}" name="Hours worked growth rates (ln), in % (note 4)" dataDxfId="137">
      <calculatedColumnFormula>(LN(H43)-LN(H42))*100</calculatedColumnFormula>
    </tableColumn>
    <tableColumn id="12" xr3:uid="{48C2F2DD-26F2-4BAC-A90F-5B60BD424FA4}" name="Capital stock (net) growth rates (ln), in %  (note 4)" dataDxfId="136">
      <calculatedColumnFormula>(LN(J43)-LN(J42))*100</calculatedColumnFormula>
    </tableColumn>
    <tableColumn id="7" xr3:uid="{E127F39B-F6E6-4C69-AC8F-33EBB112BCED}" name="Divisia labour income shares (note 3)" dataDxfId="135">
      <calculatedColumnFormula>(K9+K8)/2</calculatedColumnFormula>
    </tableColumn>
    <tableColumn id="8" xr3:uid="{3E32DD93-0871-42A0-A85E-FFF2F9EC7AF9}" name="Divisia capital  income shares (note 3)" dataDxfId="134">
      <calculatedColumnFormula>(L9+L8)/2</calculatedColumnFormula>
    </tableColumn>
    <tableColumn id="9" xr3:uid="{5C99E652-AE24-456E-B03A-923A7D3E45B7}" name="Labour income shares (note 2)" dataDxfId="133">
      <calculatedColumnFormula>O9*(P9/Q9)/M9</calculatedColumnFormula>
    </tableColumn>
    <tableColumn id="10" xr3:uid="{4DA9FF41-0849-4184-AFF2-529C5E53E447}" name="Capital income shares" dataDxfId="132">
      <calculatedColumnFormula>1-K9</calculatedColumnFormula>
    </tableColumn>
    <tableColumn id="13" xr3:uid="{C1747355-38AA-4259-873A-97E0B550D593}" name="Value added - Current prices " dataDxfId="131" dataCellStyle="Normal 2 2"/>
    <tableColumn id="14" xr3:uid="{64119711-9F45-43EB-9FB2-9657490A01BE}" name="Value added - Chain linked volumes, 2020" dataDxfId="130" dataCellStyle="Normal 2 2"/>
    <tableColumn id="15" xr3:uid="{A16C805C-2875-4DCB-82C3-7D07FA78DD71}" name="Compensation of employees" dataDxfId="129" dataCellStyle="Normal 2 2"/>
    <tableColumn id="16" xr3:uid="{3F5BD965-995A-45AF-8790-ABF2BE28AC8C}" name="Hours worked - total employment" dataDxfId="128" dataCellStyle="Normal 2 2"/>
    <tableColumn id="17" xr3:uid="{4E7F90E1-578A-4BDC-98BE-B961306E664B}" name="Hours worked employees" dataDxfId="127" dataCellStyle="Normal 2 2"/>
    <tableColumn id="18" xr3:uid="{D26263DF-19B5-4407-B185-F9258D675C9E}" name="Capital stock (net) - Chain linked volumes, 2020" dataDxfId="126" dataCellStyle="Normal 2 2"/>
  </tableColumns>
  <tableStyleInfo name="TableStyleLight20"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66A858E-9C00-4DD5-B704-0B691CA1D2C2}" name="MFP_523245678910111213141516171819202122232425" displayName="MFP_523245678910111213141516171819202122232425" ref="A8:R30" totalsRowShown="0" headerRowDxfId="125" dataDxfId="124" tableBorderDxfId="123">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D9F446A8-F806-467C-ABF4-4747AE107D85}" name="Year" dataDxfId="122">
      <calculatedColumnFormula>A8+1</calculatedColumnFormula>
    </tableColumn>
    <tableColumn id="2" xr3:uid="{DBFEF5BD-C050-4700-8AE0-15F73F647792}" name="MFP index (2020=1)" dataDxfId="121"/>
    <tableColumn id="3" xr3:uid="{0FA439C3-AF70-4D63-94C7-5E8981E0F1B1}" name="MFP growth contribution (note 1)" dataDxfId="120"/>
    <tableColumn id="4" xr3:uid="{14AD4D19-E91A-42B6-AC85-9C235EA1A5FF}" name="Value added growth rates (ln), in % (note 1)" dataDxfId="119"/>
    <tableColumn id="5" xr3:uid="{128A5BC1-19C7-47FB-9BF4-2F52B72F1C3D}" name="Hours worked growth contribution (note 1)" dataDxfId="118"/>
    <tableColumn id="6" xr3:uid="{3DEF8474-2128-4CDB-83F2-4E98020260D6}" name="Capital stock (net) growth contribution (note 1)" dataDxfId="117"/>
    <tableColumn id="11" xr3:uid="{13C20E8A-68CB-4EAB-A4EF-F1055DFB3ECD}" name="Hours worked growth rates (ln), in % (note 4)" dataDxfId="116">
      <calculatedColumnFormula>(LN(H43)-LN(H42))*100</calculatedColumnFormula>
    </tableColumn>
    <tableColumn id="12" xr3:uid="{69C546AF-BF4C-4742-A04F-55821EDC9CB4}" name="Capital stock (net) growth rates (ln), in %  (note 4)" dataDxfId="115">
      <calculatedColumnFormula>(LN(J43)-LN(J42))*100</calculatedColumnFormula>
    </tableColumn>
    <tableColumn id="7" xr3:uid="{7051806E-45CB-4CC5-96B8-B56C28109E0B}" name="Divisia labour income shares (note 3)" dataDxfId="114">
      <calculatedColumnFormula>(K9+K8)/2</calculatedColumnFormula>
    </tableColumn>
    <tableColumn id="8" xr3:uid="{C1F98E5C-1813-4E6D-9297-22F447BD98CF}" name="Divisia capital  income shares (note 3)" dataDxfId="113">
      <calculatedColumnFormula>(L9+L8)/2</calculatedColumnFormula>
    </tableColumn>
    <tableColumn id="9" xr3:uid="{5A14B6CC-3D18-4228-9018-4193EB79C48B}" name="Labour income shares (note 2)" dataDxfId="112">
      <calculatedColumnFormula>O9*(P9/Q9)/M9</calculatedColumnFormula>
    </tableColumn>
    <tableColumn id="10" xr3:uid="{EF00716C-03EF-4DA3-9485-3BEED2AAD21E}" name="Capital income shares" dataDxfId="111">
      <calculatedColumnFormula>1-K9</calculatedColumnFormula>
    </tableColumn>
    <tableColumn id="13" xr3:uid="{89D32445-FD4E-4C14-BE8B-54AC5DD9246B}" name="Value added - Current prices " dataDxfId="110" dataCellStyle="Normal 2 2"/>
    <tableColumn id="14" xr3:uid="{8C86851E-8B59-45B6-8F72-AA00FF8DFA64}" name="Value added - Chain linked volumes, 2020" dataDxfId="109" dataCellStyle="Normal 2 2"/>
    <tableColumn id="15" xr3:uid="{AC4C0759-B605-433A-A2AC-76EED3F9F826}" name="Compensation of employees" dataDxfId="108" dataCellStyle="Normal 2 2"/>
    <tableColumn id="16" xr3:uid="{9A6457A7-9A8C-41F4-AA7C-95943600DE3C}" name="Hours worked - total employment" dataDxfId="107" dataCellStyle="Normal 2 2"/>
    <tableColumn id="17" xr3:uid="{949E8171-35A7-445E-8003-B90AA6350BBB}" name="Hours worked employees" dataDxfId="106" dataCellStyle="Normal 2 2"/>
    <tableColumn id="18" xr3:uid="{AFA8571D-C34F-402F-BEC2-ED891127EB8D}" name="Capital stock (net) - Chain linked volumes, 2020" dataDxfId="105" dataCellStyle="Normal 2 2"/>
  </tableColumns>
  <tableStyleInfo name="TableStyleLight20"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F711F3-B52B-4027-925D-B4667A0724FD}" name="MFP_52324567891011121314151617181920212223242526" displayName="MFP_52324567891011121314151617181920212223242526" ref="A8:R30" totalsRowShown="0" headerRowDxfId="104" dataDxfId="103" tableBorderDxfId="102">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96C1C0C8-A330-4069-AEA0-139AF1289AD1}" name="Year" dataDxfId="101">
      <calculatedColumnFormula>A8+1</calculatedColumnFormula>
    </tableColumn>
    <tableColumn id="2" xr3:uid="{1A3A7C1E-88E2-4087-9314-51C224DD9F08}" name="MFP index (2020=1)" dataDxfId="100"/>
    <tableColumn id="3" xr3:uid="{854E8E61-9191-4EB1-839E-536BBAB5B345}" name="MFP growth contribution (note 1)" dataDxfId="99"/>
    <tableColumn id="4" xr3:uid="{90DF59C1-CEF5-474C-B421-8B1E10BD511B}" name="Value added growth rates (ln), in % (note 1)" dataDxfId="98"/>
    <tableColumn id="5" xr3:uid="{FE8CAE97-F217-4BBA-99EF-7D8E04A71474}" name="Hours worked growth contribution (note 1)" dataDxfId="97"/>
    <tableColumn id="6" xr3:uid="{52DDF200-3521-4BE8-AF5B-F12DB210E58D}" name="Capital stock (net) growth contribution (note 1)" dataDxfId="96"/>
    <tableColumn id="11" xr3:uid="{8D6368E9-5463-4285-9B7E-C915121459F4}" name="Hours worked growth rates (ln), in % (note 4)" dataDxfId="95">
      <calculatedColumnFormula>(LN(H43)-LN(H42))*100</calculatedColumnFormula>
    </tableColumn>
    <tableColumn id="12" xr3:uid="{FA364C47-8E73-4247-8F7D-F8872167A377}" name="Capital stock (net) growth rates (ln), in %  (note 4)" dataDxfId="94">
      <calculatedColumnFormula>(LN(J43)-LN(J42))*100</calculatedColumnFormula>
    </tableColumn>
    <tableColumn id="7" xr3:uid="{35B5D00D-4590-411E-BBE4-AE092721A376}" name="Divisia labour income shares (note 3)" dataDxfId="93">
      <calculatedColumnFormula>(K9+K8)/2</calculatedColumnFormula>
    </tableColumn>
    <tableColumn id="8" xr3:uid="{9A5D9F42-BEFB-4033-85B7-E3BF54158991}" name="Divisia capital  income shares (note 3)" dataDxfId="92">
      <calculatedColumnFormula>(L9+L8)/2</calculatedColumnFormula>
    </tableColumn>
    <tableColumn id="9" xr3:uid="{BEBB5A72-467A-4C59-8DF2-FCDD8C87EBD7}" name="Labour income shares (note 2)" dataDxfId="91">
      <calculatedColumnFormula>O9*(P9/Q9)/M9</calculatedColumnFormula>
    </tableColumn>
    <tableColumn id="10" xr3:uid="{AD5B8E84-C351-471E-949E-42E5A7F8690F}" name="Capital income shares" dataDxfId="90">
      <calculatedColumnFormula>1-K9</calculatedColumnFormula>
    </tableColumn>
    <tableColumn id="13" xr3:uid="{39B98B9E-093B-473F-B5C1-C3F5F1BC4C08}" name="Value added - Current prices " dataDxfId="89" dataCellStyle="Normal 2 2"/>
    <tableColumn id="14" xr3:uid="{75F8206D-806D-4028-997F-E8D81DB76022}" name="Value added - Chain linked volumes, 2020" dataDxfId="88" dataCellStyle="Normal 2 2"/>
    <tableColumn id="15" xr3:uid="{2947DAFA-D504-4180-8697-A0BED6240FD7}" name="Compensation of employees" dataDxfId="87" dataCellStyle="Normal 2 2"/>
    <tableColumn id="16" xr3:uid="{6235DD9C-4A0B-436F-9C26-A0055BBDB95F}" name="Hours worked - total employment" dataDxfId="86" dataCellStyle="Normal 2 2"/>
    <tableColumn id="17" xr3:uid="{6EF10738-A2C3-4D19-B698-AA6B87690A3C}" name="Hours worked employees" dataDxfId="85" dataCellStyle="Normal 2 2"/>
    <tableColumn id="18" xr3:uid="{FA57AB32-4B71-438B-9FD4-B21F76FC2D67}" name="Capital stock (net) - Chain linked volumes, 2020" dataDxfId="84" dataCellStyle="Normal 2 2"/>
  </tableColumns>
  <tableStyleInfo name="TableStyleLight20"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173DC3E-5118-4349-8842-F0356BC3A976}" name="MFP_5232456789101112131415161718192021222324252627" displayName="MFP_5232456789101112131415161718192021222324252627" ref="A8:R30" totalsRowShown="0" headerRowDxfId="83" dataDxfId="82" tableBorderDxfId="81">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27FD5351-B55F-46E9-8681-DF2B0C6EFDD1}" name="Year" dataDxfId="80">
      <calculatedColumnFormula>A8+1</calculatedColumnFormula>
    </tableColumn>
    <tableColumn id="2" xr3:uid="{21681FDD-A182-4E70-A1B4-AB2176EA2A37}" name="MFP index (2020=1)" dataDxfId="79"/>
    <tableColumn id="3" xr3:uid="{4070D031-7A4F-4D06-8F1D-C5A9344479D9}" name="MFP growth contribution (note 1)" dataDxfId="78"/>
    <tableColumn id="4" xr3:uid="{165DA9F6-4122-4ED4-B12D-E99005A82416}" name="Value added growth rates (ln), in % (note 1)" dataDxfId="77"/>
    <tableColumn id="5" xr3:uid="{FCA7EDC5-B611-4ED2-A29B-D818354D00B8}" name="Hours worked growth contribution (note 1)" dataDxfId="76"/>
    <tableColumn id="6" xr3:uid="{6DC7D678-A338-410C-A67F-A6714DB50B3E}" name="Capital stock (net) growth contribution (note 1)" dataDxfId="75"/>
    <tableColumn id="11" xr3:uid="{817D34E8-1372-4AEA-95F0-5402E821ABB6}" name="Hours worked growth rates (ln), in % (note 4)" dataDxfId="74">
      <calculatedColumnFormula>(LN(H43)-LN(H42))*100</calculatedColumnFormula>
    </tableColumn>
    <tableColumn id="12" xr3:uid="{F2F2A976-4A88-4819-B457-E9FB352DDC69}" name="Capital stock (net) growth rates (ln), in %  (note 4)" dataDxfId="73">
      <calculatedColumnFormula>(LN(J43)-LN(J42))*100</calculatedColumnFormula>
    </tableColumn>
    <tableColumn id="7" xr3:uid="{AFAA832D-333A-4262-AC93-1F011EB93DD0}" name="Divisia labour income shares (note 3)" dataDxfId="72">
      <calculatedColumnFormula>(K9+K8)/2</calculatedColumnFormula>
    </tableColumn>
    <tableColumn id="8" xr3:uid="{B7E3A6AB-727C-48EA-8AAA-C9E4BF2B7520}" name="Divisia capital  income shares (note 3)" dataDxfId="71">
      <calculatedColumnFormula>(L9+L8)/2</calculatedColumnFormula>
    </tableColumn>
    <tableColumn id="9" xr3:uid="{F6B1D788-2E51-4849-B696-99FB0DF7A96A}" name="Labour income shares (note 2)" dataDxfId="70">
      <calculatedColumnFormula>O9*(P9/Q9)/M9</calculatedColumnFormula>
    </tableColumn>
    <tableColumn id="10" xr3:uid="{9EA3B4E9-D575-45A5-9923-FE1EC1352FBF}" name="Capital income shares" dataDxfId="69">
      <calculatedColumnFormula>1-K9</calculatedColumnFormula>
    </tableColumn>
    <tableColumn id="13" xr3:uid="{DF88BD7C-ED32-409D-9E2F-C3F6D4531819}" name="Value added - Current prices " dataDxfId="68" dataCellStyle="Normal 2 2"/>
    <tableColumn id="14" xr3:uid="{E2EE4189-D520-4FC7-BB5C-51F375C0299E}" name="Value added - Chain linked volumes, 2020" dataDxfId="67" dataCellStyle="Normal 2 2"/>
    <tableColumn id="15" xr3:uid="{9F6C2E04-2F66-4416-A987-8CAD1BA6E2AC}" name="Compensation of employees" dataDxfId="66" dataCellStyle="Normal 2 2"/>
    <tableColumn id="16" xr3:uid="{C688E2F1-9670-49E9-90D2-6E3601F83C59}" name="Hours worked - total employment" dataDxfId="65" dataCellStyle="Normal 2 2"/>
    <tableColumn id="17" xr3:uid="{43A7F71F-6D20-447F-B156-66799014923F}" name="Hours worked employees" dataDxfId="64" dataCellStyle="Normal 2 2"/>
    <tableColumn id="18" xr3:uid="{9031FDAF-9687-4002-BCE2-AFD17380903E}" name="Capital stock (net) - Chain linked volumes, 2020" dataDxfId="63" dataCellStyle="Normal 2 2"/>
  </tableColumns>
  <tableStyleInfo name="TableStyleLight20"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F02A111-C244-4895-A94D-32E8D52FF928}" name="MFP_523245678910111213141516171819202122232425262728" displayName="MFP_523245678910111213141516171819202122232425262728" ref="A8:R30" totalsRowShown="0" headerRowDxfId="62" dataDxfId="61" tableBorderDxfId="60">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BCD53F5-4F06-4938-A660-9AB32A68AAB1}" name="Year" dataDxfId="59">
      <calculatedColumnFormula>A8+1</calculatedColumnFormula>
    </tableColumn>
    <tableColumn id="2" xr3:uid="{4C4B6A34-4A30-43C8-A829-48351B51F539}" name="MFP index (2020=1)" dataDxfId="58"/>
    <tableColumn id="3" xr3:uid="{119EBD71-9417-414F-BB1B-74EFA2D2264C}" name="MFP growth contribution (note 1)" dataDxfId="57"/>
    <tableColumn id="4" xr3:uid="{072A139B-15EC-4284-AA54-5AB8A1FB7834}" name="Value added growth rates (ln), in % (note 1)" dataDxfId="56"/>
    <tableColumn id="5" xr3:uid="{AE0FC0D7-D49B-49D3-91D7-FFD6FF9E1F20}" name="Hours worked growth contribution (note 1)" dataDxfId="55"/>
    <tableColumn id="6" xr3:uid="{9BF951EB-5A60-4F2F-9237-D224CE6490BC}" name="Capital stock (net) growth contribution (note 1)" dataDxfId="54"/>
    <tableColumn id="11" xr3:uid="{E0C563DA-34F2-4E29-8BAD-3DEA88DA5D7A}" name="Hours worked growth rates (ln), in % (note 4)" dataDxfId="53">
      <calculatedColumnFormula>(LN(H43)-LN(H42))*100</calculatedColumnFormula>
    </tableColumn>
    <tableColumn id="12" xr3:uid="{5596D40F-9529-48DF-AF25-780E381A4E79}" name="Capital stock (net) growth rates (ln), in %  (note 4)" dataDxfId="52">
      <calculatedColumnFormula>(LN(J43)-LN(J42))*100</calculatedColumnFormula>
    </tableColumn>
    <tableColumn id="7" xr3:uid="{7D92F01D-2651-4388-90CE-DDE9B6FC2F16}" name="Divisia labour income shares (note 3)" dataDxfId="51">
      <calculatedColumnFormula>(K9+K8)/2</calculatedColumnFormula>
    </tableColumn>
    <tableColumn id="8" xr3:uid="{04DD11FF-62ED-49B0-B62D-CE755CA42DE2}" name="Divisia capital  income shares (note 3)" dataDxfId="50">
      <calculatedColumnFormula>(L9+L8)/2</calculatedColumnFormula>
    </tableColumn>
    <tableColumn id="9" xr3:uid="{E652A012-84A2-4B45-938D-3A8EA61B9563}" name="Labour income shares (note 2)" dataDxfId="49">
      <calculatedColumnFormula>O9*(P9/Q9)/M9</calculatedColumnFormula>
    </tableColumn>
    <tableColumn id="10" xr3:uid="{F9C905F5-C3EB-453E-A962-FEC8E2DD414A}" name="Capital income shares" dataDxfId="48">
      <calculatedColumnFormula>1-K9</calculatedColumnFormula>
    </tableColumn>
    <tableColumn id="13" xr3:uid="{D0216A77-C003-43BD-81D1-A196BF591EF6}" name="Value added - Current prices " dataDxfId="47" dataCellStyle="Normal 2 2"/>
    <tableColumn id="14" xr3:uid="{7C160212-DC91-4123-B4F6-893EEBCCB78F}" name="Value added - Chain linked volumes, 2020" dataDxfId="46" dataCellStyle="Normal 2 2"/>
    <tableColumn id="15" xr3:uid="{5A5DE8B9-5103-49CC-B0C0-4855AD2AA56C}" name="Compensation of employees" dataDxfId="45" dataCellStyle="Normal 2 2"/>
    <tableColumn id="16" xr3:uid="{3F473872-3637-4983-BF26-7BD729D570D2}" name="Hours worked - total employment" dataDxfId="44" dataCellStyle="Normal 2 2"/>
    <tableColumn id="17" xr3:uid="{3B26842A-1523-4883-A401-92AF49B3CAB5}" name="Hours worked employees" dataDxfId="43" dataCellStyle="Normal 2 2"/>
    <tableColumn id="18" xr3:uid="{12510531-4828-4657-B6C8-FE7F914372F2}" name="Capital stock (net) - Chain linked volumes, 2020" dataDxfId="42" dataCellStyle="Normal 2 2"/>
  </tableColumns>
  <tableStyleInfo name="TableStyleLight20"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B4AC0C7-C1FD-4A89-BC97-06F437527D49}" name="MFP_52324567891011121314151617181920212223242526272829" displayName="MFP_52324567891011121314151617181920212223242526272829" ref="A8:R30" totalsRowShown="0" headerRowDxfId="41" dataDxfId="40" tableBorderDxfId="39">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EB470878-EA0D-430D-9A9B-2A4F535C570E}" name="Year" dataDxfId="38">
      <calculatedColumnFormula>A8+1</calculatedColumnFormula>
    </tableColumn>
    <tableColumn id="2" xr3:uid="{AB254F18-6787-4B63-A575-01F91239F0D8}" name="MFP index (2020=1)" dataDxfId="37"/>
    <tableColumn id="3" xr3:uid="{18415EBB-CCBB-4357-9B6C-191C7FB70ACD}" name="MFP growth contribution (note 1)" dataDxfId="36"/>
    <tableColumn id="4" xr3:uid="{0A708E67-4297-45F1-BF8D-5DD7CC969601}" name="Value added growth rates (ln), in % (note 1)" dataDxfId="35"/>
    <tableColumn id="5" xr3:uid="{B3795CE8-1CD4-49EA-99B9-DF60FE37CDB1}" name="Hours worked growth contribution (note 1)" dataDxfId="34"/>
    <tableColumn id="6" xr3:uid="{7B64DA24-B2F3-446E-BFA4-14EE45CA2F49}" name="Capital stock (net) growth contribution (note 1)" dataDxfId="33"/>
    <tableColumn id="11" xr3:uid="{5963E846-5B03-4CC7-8E50-C08E6620406C}" name="Hours worked growth rates (ln), in % (note 4)" dataDxfId="32">
      <calculatedColumnFormula>(LN(H43)-LN(H42))*100</calculatedColumnFormula>
    </tableColumn>
    <tableColumn id="12" xr3:uid="{E8069C0A-53EF-49B7-B4BF-03A4DCB65581}" name="Capital stock (net) growth rates (ln), in %  (note 4)" dataDxfId="31">
      <calculatedColumnFormula>(LN(J43)-LN(J42))*100</calculatedColumnFormula>
    </tableColumn>
    <tableColumn id="7" xr3:uid="{9070EC37-A130-4FFB-B00F-E2971BC6F8CB}" name="Divisia labour income shares (note 3)" dataDxfId="30">
      <calculatedColumnFormula>(K9+K8)/2</calculatedColumnFormula>
    </tableColumn>
    <tableColumn id="8" xr3:uid="{E156319E-2F72-4CE7-8E0D-E1F1F4BA8028}" name="Divisia capital  income shares (note 3)" dataDxfId="29">
      <calculatedColumnFormula>(L9+L8)/2</calculatedColumnFormula>
    </tableColumn>
    <tableColumn id="9" xr3:uid="{EE21FF78-CBA2-4E29-B391-DDC37189FEDE}" name="Labour income shares (note 2)" dataDxfId="28">
      <calculatedColumnFormula>O9*(P9/Q9)/M9</calculatedColumnFormula>
    </tableColumn>
    <tableColumn id="10" xr3:uid="{CBF7D8E1-ADDE-4A26-87D7-073EFBCDD948}" name="Capital income shares" dataDxfId="27">
      <calculatedColumnFormula>1-K9</calculatedColumnFormula>
    </tableColumn>
    <tableColumn id="13" xr3:uid="{A6409F8C-4B8F-459A-8069-E1466CD02AAB}" name="Value added - Current prices " dataDxfId="26" dataCellStyle="Normal 2 2"/>
    <tableColumn id="14" xr3:uid="{422E80C8-5A2F-4AC9-9575-24EA28C45F02}" name="Value added - Chain linked volumes, 2020" dataDxfId="25" dataCellStyle="Normal 2 2"/>
    <tableColumn id="15" xr3:uid="{DFC29730-7491-4493-8043-AA546281BF6F}" name="Compensation of employees" dataDxfId="24" dataCellStyle="Normal 2 2"/>
    <tableColumn id="16" xr3:uid="{B9E6DE63-96F0-4DB1-A1B5-20550CD75F4B}" name="Hours worked - total employment" dataDxfId="23" dataCellStyle="Normal 2 2"/>
    <tableColumn id="17" xr3:uid="{C4A6637B-8F97-49AF-A100-283FC2F37585}" name="Hours worked employees" dataDxfId="22" dataCellStyle="Normal 2 2"/>
    <tableColumn id="18" xr3:uid="{5045D800-DCE2-4AEF-B515-EE4DF2743992}" name="Capital stock (net) - Chain linked volumes, 2020" dataDxfId="21" dataCellStyle="Normal 2 2"/>
  </tableColumns>
  <tableStyleInfo name="TableStyleLight20"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02BDA2E-0D04-40FC-B25B-CF9C0DF6A1CD}" name="MFP_5232456789101112131415161718192021222324252627282930" displayName="MFP_5232456789101112131415161718192021222324252627282930" ref="A8:R30" totalsRowShown="0" headerRowDxfId="20" dataDxfId="19" tableBorderDxfId="18">
  <autoFilter ref="A8:R30" xr:uid="{51B71094-10F2-4628-888F-9B760C2906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67933829-7611-475D-BD84-9673136AD8F1}" name="Year" dataDxfId="17">
      <calculatedColumnFormula>A8+1</calculatedColumnFormula>
    </tableColumn>
    <tableColumn id="2" xr3:uid="{2BB593F0-D343-465D-B329-7D5984B1CD7A}" name="MFP index (2020=1)" dataDxfId="16"/>
    <tableColumn id="3" xr3:uid="{BBE1B5E6-9D84-4858-8774-D105F674EE1E}" name="MFP growth contribution (note 1)" dataDxfId="15"/>
    <tableColumn id="4" xr3:uid="{453285E8-EE25-46EB-91A1-A1C3D27644BE}" name="Value added growth rates (ln), in % (note 1)" dataDxfId="14"/>
    <tableColumn id="5" xr3:uid="{E1588BD6-B315-41A2-B61F-0430E8F33F2B}" name="Hours worked growth contribution (note 1)" dataDxfId="13"/>
    <tableColumn id="6" xr3:uid="{BFB5D3E6-2EEB-461E-B3B8-611DD77B9508}" name="Capital stock (net) growth contribution (note 1)" dataDxfId="12"/>
    <tableColumn id="11" xr3:uid="{FFE1E39A-8EF2-4E35-B694-7FE2F9F2C3F1}" name="Hours worked growth rates (ln), in % (note 4)" dataDxfId="11">
      <calculatedColumnFormula>(LN(H43)-LN(H42))*100</calculatedColumnFormula>
    </tableColumn>
    <tableColumn id="12" xr3:uid="{5166DB31-6FA3-48C3-929A-9F3A7671B302}" name="Capital stock (net) growth rates (ln), in %  (note 4)" dataDxfId="10">
      <calculatedColumnFormula>(LN(J43)-LN(J42))*100</calculatedColumnFormula>
    </tableColumn>
    <tableColumn id="7" xr3:uid="{1BFABB57-CD64-445A-AD31-93A988623BFA}" name="Divisia labour income shares (note 3)" dataDxfId="9">
      <calculatedColumnFormula>(K9+K8)/2</calculatedColumnFormula>
    </tableColumn>
    <tableColumn id="8" xr3:uid="{399A6293-F416-422F-A501-9BB0C32B16C9}" name="Divisia capital  income shares (note 3)" dataDxfId="8">
      <calculatedColumnFormula>(L9+L8)/2</calculatedColumnFormula>
    </tableColumn>
    <tableColumn id="9" xr3:uid="{53ADA01A-009D-454B-A763-2128E479072F}" name="Labour income shares (note 2)" dataDxfId="7">
      <calculatedColumnFormula>O9*(P9/Q9)/M9</calculatedColumnFormula>
    </tableColumn>
    <tableColumn id="10" xr3:uid="{05131A0B-BECD-4C7C-B38A-2EC959E8D955}" name="Capital income shares" dataDxfId="6">
      <calculatedColumnFormula>1-K9</calculatedColumnFormula>
    </tableColumn>
    <tableColumn id="13" xr3:uid="{4211673E-2DC2-43F5-B51F-E48BB2B01925}" name="Value added - Current prices " dataDxfId="5" dataCellStyle="Normal 2 2"/>
    <tableColumn id="14" xr3:uid="{9ED81D1C-8BF1-41E7-AE7D-143371D9DD29}" name="Value added - Chain linked volumes, 2020" dataDxfId="4" dataCellStyle="Normal 2 2"/>
    <tableColumn id="15" xr3:uid="{8E4F372C-E7A5-4178-9362-69C7E09065EE}" name="Compensation of employees" dataDxfId="3" dataCellStyle="Normal 2 2"/>
    <tableColumn id="16" xr3:uid="{A1D7FF37-A8DA-419F-99F6-6B17F6664151}" name="Hours worked - total employment" dataDxfId="2" dataCellStyle="Normal 2 2"/>
    <tableColumn id="17" xr3:uid="{F5D55F20-9652-4F36-B0CC-E014DD613AAC}" name="Hours worked employees" dataDxfId="1" dataCellStyle="Normal 2 2"/>
    <tableColumn id="18" xr3:uid="{23F3501A-DD0A-45B8-B989-37DADAF5CDD3}" name="Capital stock (net) - Chain linked volumes, 2020" dataDxfId="0" dataCellStyle="Normal 2 2"/>
  </tableColumns>
  <tableStyleInfo name="TableStyleLight20" showFirstColumn="0" showLastColumn="0" showRowStripes="1" showColumnStripes="0"/>
</table>
</file>

<file path=xl/theme/theme1.xml><?xml version="1.0" encoding="utf-8"?>
<a:theme xmlns:a="http://schemas.openxmlformats.org/drawingml/2006/main" name="Office">
  <a:themeElements>
    <a:clrScheme name="Palette B">
      <a:dk1>
        <a:sysClr val="windowText" lastClr="000000"/>
      </a:dk1>
      <a:lt1>
        <a:sysClr val="window" lastClr="FFFFFF"/>
      </a:lt1>
      <a:dk2>
        <a:srgbClr val="1F497D"/>
      </a:dk2>
      <a:lt2>
        <a:srgbClr val="EEECE1"/>
      </a:lt2>
      <a:accent1>
        <a:srgbClr val="B656BD"/>
      </a:accent1>
      <a:accent2>
        <a:srgbClr val="2644A7"/>
      </a:accent2>
      <a:accent3>
        <a:srgbClr val="B09120"/>
      </a:accent3>
      <a:accent4>
        <a:srgbClr val="672DC4"/>
      </a:accent4>
      <a:accent5>
        <a:srgbClr val="388AE2"/>
      </a:accent5>
      <a:accent6>
        <a:srgbClr val="AF155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B0AE969-798A-7942-AD0D-BD4502EC0B39}">
  <we:reference id="wa200005502" version="1.0.0.11" store="it-IT" storeType="OMEX"/>
  <we:alternateReferences>
    <we:reference id="wa200005502" version="1.0.0.11"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ec.europa.eu/eurostat/web/experimental-statistics/multifactor-productivit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openxmlformats.org/officeDocument/2006/relationships/comments" Target="../comments4.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5" Type="http://schemas.openxmlformats.org/officeDocument/2006/relationships/comments" Target="../comments6.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8.bin"/><Relationship Id="rId5" Type="http://schemas.openxmlformats.org/officeDocument/2006/relationships/comments" Target="../comments7.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9.bin"/><Relationship Id="rId5" Type="http://schemas.openxmlformats.org/officeDocument/2006/relationships/comments" Target="../comments8.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10.bin"/><Relationship Id="rId5" Type="http://schemas.openxmlformats.org/officeDocument/2006/relationships/comments" Target="../comments9.xm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11.bin"/><Relationship Id="rId5" Type="http://schemas.openxmlformats.org/officeDocument/2006/relationships/comments" Target="../comments10.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12.bin"/><Relationship Id="rId5" Type="http://schemas.openxmlformats.org/officeDocument/2006/relationships/comments" Target="../comments11.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13.bin"/><Relationship Id="rId5" Type="http://schemas.openxmlformats.org/officeDocument/2006/relationships/comments" Target="../comments12.xml"/><Relationship Id="rId4"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14.bin"/><Relationship Id="rId5" Type="http://schemas.openxmlformats.org/officeDocument/2006/relationships/comments" Target="../comments13.xml"/><Relationship Id="rId4"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6.xml"/><Relationship Id="rId1" Type="http://schemas.openxmlformats.org/officeDocument/2006/relationships/printerSettings" Target="../printerSettings/printerSettings15.bin"/><Relationship Id="rId5" Type="http://schemas.openxmlformats.org/officeDocument/2006/relationships/comments" Target="../comments14.xml"/><Relationship Id="rId4"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7.xml"/><Relationship Id="rId1" Type="http://schemas.openxmlformats.org/officeDocument/2006/relationships/printerSettings" Target="../printerSettings/printerSettings16.bin"/><Relationship Id="rId5" Type="http://schemas.openxmlformats.org/officeDocument/2006/relationships/comments" Target="../comments15.xml"/><Relationship Id="rId4"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8.xml"/><Relationship Id="rId1" Type="http://schemas.openxmlformats.org/officeDocument/2006/relationships/printerSettings" Target="../printerSettings/printerSettings17.bin"/><Relationship Id="rId5" Type="http://schemas.openxmlformats.org/officeDocument/2006/relationships/comments" Target="../comments16.xml"/><Relationship Id="rId4"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9.xml"/><Relationship Id="rId1" Type="http://schemas.openxmlformats.org/officeDocument/2006/relationships/printerSettings" Target="../printerSettings/printerSettings18.bin"/><Relationship Id="rId5" Type="http://schemas.openxmlformats.org/officeDocument/2006/relationships/comments" Target="../comments17.xml"/><Relationship Id="rId4"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0.xml"/><Relationship Id="rId1" Type="http://schemas.openxmlformats.org/officeDocument/2006/relationships/printerSettings" Target="../printerSettings/printerSettings19.bin"/><Relationship Id="rId5" Type="http://schemas.openxmlformats.org/officeDocument/2006/relationships/comments" Target="../comments18.xml"/><Relationship Id="rId4"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1.xml"/><Relationship Id="rId1" Type="http://schemas.openxmlformats.org/officeDocument/2006/relationships/printerSettings" Target="../printerSettings/printerSettings20.bin"/><Relationship Id="rId5" Type="http://schemas.openxmlformats.org/officeDocument/2006/relationships/comments" Target="../comments19.xml"/><Relationship Id="rId4"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2.xml"/><Relationship Id="rId1" Type="http://schemas.openxmlformats.org/officeDocument/2006/relationships/printerSettings" Target="../printerSettings/printerSettings21.bin"/><Relationship Id="rId5" Type="http://schemas.openxmlformats.org/officeDocument/2006/relationships/comments" Target="../comments20.xml"/><Relationship Id="rId4"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3.xml"/><Relationship Id="rId1" Type="http://schemas.openxmlformats.org/officeDocument/2006/relationships/printerSettings" Target="../printerSettings/printerSettings22.bin"/><Relationship Id="rId5" Type="http://schemas.openxmlformats.org/officeDocument/2006/relationships/comments" Target="../comments21.xml"/><Relationship Id="rId4"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4.xml"/><Relationship Id="rId1" Type="http://schemas.openxmlformats.org/officeDocument/2006/relationships/printerSettings" Target="../printerSettings/printerSettings23.bin"/><Relationship Id="rId5" Type="http://schemas.openxmlformats.org/officeDocument/2006/relationships/comments" Target="../comments22.xml"/><Relationship Id="rId4"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5.xml"/><Relationship Id="rId1" Type="http://schemas.openxmlformats.org/officeDocument/2006/relationships/printerSettings" Target="../printerSettings/printerSettings24.bin"/><Relationship Id="rId5" Type="http://schemas.openxmlformats.org/officeDocument/2006/relationships/comments" Target="../comments23.xml"/><Relationship Id="rId4"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6.xml"/><Relationship Id="rId1" Type="http://schemas.openxmlformats.org/officeDocument/2006/relationships/printerSettings" Target="../printerSettings/printerSettings25.bin"/><Relationship Id="rId5" Type="http://schemas.openxmlformats.org/officeDocument/2006/relationships/comments" Target="../comments24.xml"/><Relationship Id="rId4"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7.xml"/><Relationship Id="rId1" Type="http://schemas.openxmlformats.org/officeDocument/2006/relationships/printerSettings" Target="../printerSettings/printerSettings26.bin"/><Relationship Id="rId5" Type="http://schemas.openxmlformats.org/officeDocument/2006/relationships/comments" Target="../comments25.xml"/><Relationship Id="rId4"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8.xml"/><Relationship Id="rId1" Type="http://schemas.openxmlformats.org/officeDocument/2006/relationships/printerSettings" Target="../printerSettings/printerSettings27.bin"/><Relationship Id="rId5" Type="http://schemas.openxmlformats.org/officeDocument/2006/relationships/comments" Target="../comments26.xml"/><Relationship Id="rId4"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9.xml"/><Relationship Id="rId1" Type="http://schemas.openxmlformats.org/officeDocument/2006/relationships/printerSettings" Target="../printerSettings/printerSettings28.bin"/><Relationship Id="rId5" Type="http://schemas.openxmlformats.org/officeDocument/2006/relationships/comments" Target="../comments27.xml"/><Relationship Id="rId4"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30.xml"/><Relationship Id="rId1" Type="http://schemas.openxmlformats.org/officeDocument/2006/relationships/printerSettings" Target="../printerSettings/printerSettings29.bin"/><Relationship Id="rId5" Type="http://schemas.openxmlformats.org/officeDocument/2006/relationships/comments" Target="../comments28.xml"/><Relationship Id="rId4"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31.xml"/><Relationship Id="rId1" Type="http://schemas.openxmlformats.org/officeDocument/2006/relationships/printerSettings" Target="../printerSettings/printerSettings30.bin"/><Relationship Id="rId5" Type="http://schemas.openxmlformats.org/officeDocument/2006/relationships/comments" Target="../comments29.xml"/><Relationship Id="rId4"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2.xml"/><Relationship Id="rId1" Type="http://schemas.openxmlformats.org/officeDocument/2006/relationships/printerSettings" Target="../printerSettings/printerSettings31.bin"/><Relationship Id="rId5" Type="http://schemas.openxmlformats.org/officeDocument/2006/relationships/comments" Target="../comments30.xml"/><Relationship Id="rId4"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R136"/>
  <sheetViews>
    <sheetView tabSelected="1" zoomScaleNormal="100" workbookViewId="0"/>
  </sheetViews>
  <sheetFormatPr defaultColWidth="8.7109375" defaultRowHeight="12.75" x14ac:dyDescent="0.2"/>
  <cols>
    <col min="1" max="1" width="92" style="3" customWidth="1"/>
    <col min="2" max="2" width="83.28515625" style="3" customWidth="1"/>
    <col min="3" max="3" width="14.85546875" style="3" customWidth="1"/>
    <col min="4" max="4" width="27.42578125" style="3" customWidth="1"/>
    <col min="5" max="16384" width="8.7109375" style="3"/>
  </cols>
  <sheetData>
    <row r="1" spans="1:3" ht="75" customHeight="1" x14ac:dyDescent="0.25">
      <c r="A1" s="45" t="s">
        <v>139</v>
      </c>
    </row>
    <row r="2" spans="1:3" s="96" customFormat="1" ht="40.5" customHeight="1" x14ac:dyDescent="0.2">
      <c r="A2" s="95" t="s">
        <v>22</v>
      </c>
    </row>
    <row r="3" spans="1:3" s="32" customFormat="1" ht="98.25" customHeight="1" x14ac:dyDescent="0.2">
      <c r="A3" s="33" t="s">
        <v>140</v>
      </c>
      <c r="B3" s="34"/>
    </row>
    <row r="4" spans="1:3" s="32" customFormat="1" ht="24" customHeight="1" x14ac:dyDescent="0.2">
      <c r="A4" s="94" t="s">
        <v>138</v>
      </c>
      <c r="B4" s="34"/>
    </row>
    <row r="5" spans="1:3" s="32" customFormat="1" ht="24" customHeight="1" x14ac:dyDescent="0.2">
      <c r="A5" s="33" t="s">
        <v>137</v>
      </c>
      <c r="B5" s="34"/>
    </row>
    <row r="6" spans="1:3" s="42" customFormat="1" ht="26.25" customHeight="1" x14ac:dyDescent="0.2">
      <c r="A6" s="97" t="s">
        <v>0</v>
      </c>
    </row>
    <row r="7" spans="1:3" s="42" customFormat="1" ht="19.5" customHeight="1" x14ac:dyDescent="0.2">
      <c r="A7" s="92" t="s">
        <v>124</v>
      </c>
    </row>
    <row r="8" spans="1:3" s="42" customFormat="1" ht="19.5" customHeight="1" x14ac:dyDescent="0.2">
      <c r="A8" s="91" t="s">
        <v>28</v>
      </c>
      <c r="B8" s="33"/>
    </row>
    <row r="9" spans="1:3" s="42" customFormat="1" ht="19.5" customHeight="1" x14ac:dyDescent="0.2">
      <c r="A9" s="92" t="s">
        <v>29</v>
      </c>
    </row>
    <row r="10" spans="1:3" s="42" customFormat="1" ht="19.5" customHeight="1" x14ac:dyDescent="0.2">
      <c r="A10" s="92" t="s">
        <v>1</v>
      </c>
    </row>
    <row r="11" spans="1:3" s="42" customFormat="1" ht="19.5" customHeight="1" x14ac:dyDescent="0.2">
      <c r="A11" s="93" t="s">
        <v>45</v>
      </c>
    </row>
    <row r="12" spans="1:3" s="42" customFormat="1" ht="19.5" customHeight="1" x14ac:dyDescent="0.2">
      <c r="A12" s="93" t="s">
        <v>46</v>
      </c>
    </row>
    <row r="13" spans="1:3" s="42" customFormat="1" ht="19.5" customHeight="1" x14ac:dyDescent="0.2">
      <c r="A13" s="93" t="s">
        <v>26</v>
      </c>
    </row>
    <row r="14" spans="1:3" s="42" customFormat="1" ht="19.5" customHeight="1" x14ac:dyDescent="0.2">
      <c r="A14" s="93" t="s">
        <v>27</v>
      </c>
      <c r="C14" s="43"/>
    </row>
    <row r="15" spans="1:3" s="42" customFormat="1" ht="19.5" customHeight="1" x14ac:dyDescent="0.2">
      <c r="A15" s="93" t="s">
        <v>41</v>
      </c>
    </row>
    <row r="16" spans="1:3" s="42" customFormat="1" ht="19.5" customHeight="1" x14ac:dyDescent="0.2">
      <c r="A16" s="93" t="s">
        <v>33</v>
      </c>
    </row>
    <row r="17" spans="1:12" s="42" customFormat="1" ht="19.5" customHeight="1" x14ac:dyDescent="0.2">
      <c r="A17" s="93" t="s">
        <v>30</v>
      </c>
      <c r="C17" s="44"/>
      <c r="E17" s="44"/>
      <c r="F17" s="44"/>
      <c r="G17" s="44"/>
      <c r="H17" s="44"/>
      <c r="I17" s="44"/>
      <c r="J17" s="44"/>
      <c r="L17" s="44"/>
    </row>
    <row r="18" spans="1:12" s="42" customFormat="1" ht="19.5" customHeight="1" x14ac:dyDescent="0.2">
      <c r="A18" s="93" t="s">
        <v>31</v>
      </c>
    </row>
    <row r="19" spans="1:12" s="42" customFormat="1" ht="19.5" customHeight="1" x14ac:dyDescent="0.2">
      <c r="A19" s="93" t="s">
        <v>32</v>
      </c>
    </row>
    <row r="20" spans="1:12" s="42" customFormat="1" ht="19.5" customHeight="1" x14ac:dyDescent="0.2">
      <c r="A20" s="93" t="s">
        <v>47</v>
      </c>
    </row>
    <row r="21" spans="1:12" s="42" customFormat="1" ht="19.5" customHeight="1" x14ac:dyDescent="0.2">
      <c r="A21" s="93" t="s">
        <v>34</v>
      </c>
    </row>
    <row r="22" spans="1:12" s="42" customFormat="1" ht="19.5" customHeight="1" x14ac:dyDescent="0.2">
      <c r="A22" s="93" t="s">
        <v>42</v>
      </c>
    </row>
    <row r="23" spans="1:12" s="42" customFormat="1" ht="19.5" customHeight="1" x14ac:dyDescent="0.2">
      <c r="A23" s="93" t="s">
        <v>48</v>
      </c>
    </row>
    <row r="24" spans="1:12" s="42" customFormat="1" ht="19.5" customHeight="1" x14ac:dyDescent="0.2">
      <c r="A24" s="93" t="s">
        <v>43</v>
      </c>
    </row>
    <row r="25" spans="1:12" s="42" customFormat="1" ht="19.5" customHeight="1" x14ac:dyDescent="0.2">
      <c r="A25" s="93" t="s">
        <v>35</v>
      </c>
    </row>
    <row r="26" spans="1:12" s="42" customFormat="1" ht="19.5" customHeight="1" x14ac:dyDescent="0.2">
      <c r="A26" s="93" t="s">
        <v>44</v>
      </c>
    </row>
    <row r="27" spans="1:12" s="42" customFormat="1" ht="19.5" customHeight="1" x14ac:dyDescent="0.2">
      <c r="A27" s="93" t="s">
        <v>49</v>
      </c>
    </row>
    <row r="28" spans="1:12" s="42" customFormat="1" ht="19.5" customHeight="1" x14ac:dyDescent="0.2">
      <c r="A28" s="93" t="s">
        <v>36</v>
      </c>
    </row>
    <row r="29" spans="1:12" s="42" customFormat="1" ht="19.5" customHeight="1" x14ac:dyDescent="0.2">
      <c r="A29" s="93" t="s">
        <v>37</v>
      </c>
    </row>
    <row r="30" spans="1:12" s="42" customFormat="1" ht="19.5" customHeight="1" x14ac:dyDescent="0.2">
      <c r="A30" s="93" t="s">
        <v>50</v>
      </c>
    </row>
    <row r="31" spans="1:12" s="42" customFormat="1" ht="19.5" customHeight="1" x14ac:dyDescent="0.2">
      <c r="A31" s="93" t="s">
        <v>38</v>
      </c>
    </row>
    <row r="32" spans="1:12" s="42" customFormat="1" ht="19.5" customHeight="1" x14ac:dyDescent="0.2">
      <c r="A32" s="93" t="s">
        <v>51</v>
      </c>
    </row>
    <row r="33" spans="1:2" s="42" customFormat="1" ht="19.5" customHeight="1" x14ac:dyDescent="0.2">
      <c r="A33" s="93" t="s">
        <v>52</v>
      </c>
    </row>
    <row r="34" spans="1:2" s="42" customFormat="1" ht="19.5" customHeight="1" x14ac:dyDescent="0.2">
      <c r="A34" s="93" t="s">
        <v>53</v>
      </c>
    </row>
    <row r="35" spans="1:2" ht="19.5" customHeight="1" x14ac:dyDescent="0.2">
      <c r="A35" s="93" t="s">
        <v>39</v>
      </c>
    </row>
    <row r="36" spans="1:2" ht="19.5" customHeight="1" x14ac:dyDescent="0.2">
      <c r="A36" s="93" t="s">
        <v>40</v>
      </c>
    </row>
    <row r="37" spans="1:2" ht="15" customHeight="1" x14ac:dyDescent="0.2">
      <c r="A37" s="93" t="s">
        <v>54</v>
      </c>
    </row>
    <row r="38" spans="1:2" ht="15" customHeight="1" x14ac:dyDescent="0.2"/>
    <row r="39" spans="1:2" ht="15" customHeight="1" x14ac:dyDescent="0.2"/>
    <row r="40" spans="1:2" ht="15" customHeight="1" x14ac:dyDescent="0.2"/>
    <row r="41" spans="1:2" ht="15" customHeight="1" x14ac:dyDescent="0.2"/>
    <row r="42" spans="1:2" ht="15" customHeight="1" x14ac:dyDescent="0.2"/>
    <row r="43" spans="1:2" ht="15" customHeight="1" x14ac:dyDescent="0.2"/>
    <row r="44" spans="1:2" ht="15" customHeight="1" x14ac:dyDescent="0.2"/>
    <row r="45" spans="1:2" ht="15" customHeight="1" x14ac:dyDescent="0.2"/>
    <row r="46" spans="1:2" ht="15" customHeight="1" x14ac:dyDescent="0.2"/>
    <row r="47" spans="1:2" ht="15" customHeight="1" x14ac:dyDescent="0.2">
      <c r="B47" s="13"/>
    </row>
    <row r="48" spans="1:2" ht="15" customHeight="1" x14ac:dyDescent="0.2">
      <c r="B48" s="13"/>
    </row>
    <row r="49" spans="2:14" ht="15" customHeight="1" x14ac:dyDescent="0.2">
      <c r="B49" s="13"/>
    </row>
    <row r="50" spans="2:14" ht="15" customHeight="1" x14ac:dyDescent="0.2">
      <c r="B50" s="6"/>
    </row>
    <row r="51" spans="2:14" ht="15" customHeight="1" x14ac:dyDescent="0.2"/>
    <row r="52" spans="2:14" ht="15" customHeight="1" x14ac:dyDescent="0.2"/>
    <row r="53" spans="2:14" ht="15" customHeight="1" x14ac:dyDescent="0.2"/>
    <row r="54" spans="2:14" ht="15" customHeight="1" x14ac:dyDescent="0.2"/>
    <row r="55" spans="2:14" ht="17.25" customHeight="1" x14ac:dyDescent="0.2">
      <c r="B55" s="4"/>
      <c r="J55" s="4"/>
      <c r="L55" s="6"/>
    </row>
    <row r="56" spans="2:14" ht="15" customHeight="1" x14ac:dyDescent="0.2">
      <c r="K56" s="7"/>
    </row>
    <row r="57" spans="2:14" ht="15" customHeight="1" x14ac:dyDescent="0.2">
      <c r="B57" s="6"/>
      <c r="C57" s="6"/>
      <c r="K57" s="7"/>
    </row>
    <row r="58" spans="2:14" ht="15" customHeight="1" x14ac:dyDescent="0.2">
      <c r="B58" s="6"/>
      <c r="C58" s="6"/>
      <c r="K58" s="7"/>
    </row>
    <row r="59" spans="2:14" ht="15" customHeight="1" x14ac:dyDescent="0.2">
      <c r="B59" s="6"/>
      <c r="C59" s="6"/>
      <c r="D59" s="6"/>
      <c r="K59" s="7"/>
      <c r="N59" s="7"/>
    </row>
    <row r="60" spans="2:14" ht="15" customHeight="1" x14ac:dyDescent="0.2">
      <c r="B60" s="6"/>
      <c r="C60" s="6"/>
      <c r="D60" s="6"/>
      <c r="K60" s="7"/>
      <c r="N60" s="7"/>
    </row>
    <row r="61" spans="2:14" ht="15" customHeight="1" x14ac:dyDescent="0.2">
      <c r="K61" s="7"/>
      <c r="N61" s="7"/>
    </row>
    <row r="62" spans="2:14" ht="15" customHeight="1" x14ac:dyDescent="0.2">
      <c r="K62" s="7"/>
      <c r="N62" s="7"/>
    </row>
    <row r="63" spans="2:14" ht="18" customHeight="1" x14ac:dyDescent="0.2">
      <c r="K63" s="7"/>
      <c r="N63" s="7"/>
    </row>
    <row r="64" spans="2:14" ht="15" customHeight="1" x14ac:dyDescent="0.2">
      <c r="N64" s="7"/>
    </row>
    <row r="65" spans="2:11" ht="15" customHeight="1" x14ac:dyDescent="0.2">
      <c r="K65" s="7"/>
    </row>
    <row r="66" spans="2:11" ht="15" customHeight="1" x14ac:dyDescent="0.2">
      <c r="K66" s="7"/>
    </row>
    <row r="67" spans="2:11" ht="15" customHeight="1" x14ac:dyDescent="0.2">
      <c r="K67" s="7"/>
    </row>
    <row r="68" spans="2:11" ht="15" customHeight="1" x14ac:dyDescent="0.2">
      <c r="K68" s="7"/>
    </row>
    <row r="69" spans="2:11" ht="15.95" customHeight="1" x14ac:dyDescent="0.2">
      <c r="B69" s="4"/>
      <c r="K69" s="7"/>
    </row>
    <row r="70" spans="2:11" ht="15" customHeight="1" x14ac:dyDescent="0.2">
      <c r="B70" s="8"/>
      <c r="C70" s="4"/>
      <c r="K70" s="7"/>
    </row>
    <row r="71" spans="2:11" ht="15" customHeight="1" x14ac:dyDescent="0.2">
      <c r="B71" s="7"/>
      <c r="K71" s="7"/>
    </row>
    <row r="72" spans="2:11" ht="17.25" customHeight="1" x14ac:dyDescent="0.2">
      <c r="B72" s="7"/>
      <c r="K72" s="7"/>
    </row>
    <row r="73" spans="2:11" ht="15" customHeight="1" x14ac:dyDescent="0.2">
      <c r="B73" s="7"/>
      <c r="K73" s="7"/>
    </row>
    <row r="74" spans="2:11" ht="15" customHeight="1" x14ac:dyDescent="0.2">
      <c r="K74" s="7"/>
    </row>
    <row r="75" spans="2:11" ht="15" customHeight="1" x14ac:dyDescent="0.2">
      <c r="K75" s="7"/>
    </row>
    <row r="76" spans="2:11" ht="15" customHeight="1" x14ac:dyDescent="0.2">
      <c r="C76" s="4"/>
      <c r="K76" s="7"/>
    </row>
    <row r="77" spans="2:11" ht="15" customHeight="1" x14ac:dyDescent="0.2">
      <c r="C77" s="9"/>
      <c r="K77" s="7"/>
    </row>
    <row r="78" spans="2:11" ht="15" customHeight="1" x14ac:dyDescent="0.2">
      <c r="C78" s="9"/>
      <c r="K78" s="7"/>
    </row>
    <row r="79" spans="2:11" ht="15" customHeight="1" x14ac:dyDescent="0.2">
      <c r="C79" s="7"/>
      <c r="K79" s="7"/>
    </row>
    <row r="80" spans="2:11" ht="17.25" customHeight="1" x14ac:dyDescent="0.2">
      <c r="B80" s="4"/>
      <c r="J80" s="10"/>
      <c r="K80" s="7"/>
    </row>
    <row r="81" spans="1:10" ht="17.25" customHeight="1" x14ac:dyDescent="0.2">
      <c r="B81" s="4"/>
      <c r="J81" s="7"/>
    </row>
    <row r="82" spans="1:10" ht="17.25" customHeight="1" x14ac:dyDescent="0.2">
      <c r="J82" s="7"/>
    </row>
    <row r="83" spans="1:10" ht="17.25" customHeight="1" x14ac:dyDescent="0.2">
      <c r="B83" s="4"/>
      <c r="F83" s="10"/>
    </row>
    <row r="84" spans="1:10" ht="15" customHeight="1" x14ac:dyDescent="0.2">
      <c r="B84" s="10"/>
      <c r="E84" s="11"/>
      <c r="F84" s="10"/>
      <c r="I84" s="11"/>
      <c r="J84" s="10"/>
    </row>
    <row r="85" spans="1:10" ht="15" customHeight="1" x14ac:dyDescent="0.2">
      <c r="B85" s="10"/>
      <c r="E85" s="11"/>
      <c r="F85" s="10"/>
      <c r="I85" s="11"/>
      <c r="J85" s="10"/>
    </row>
    <row r="86" spans="1:10" ht="15" customHeight="1" x14ac:dyDescent="0.2">
      <c r="A86" s="11"/>
      <c r="B86" s="10"/>
      <c r="E86" s="11"/>
      <c r="F86" s="10"/>
      <c r="I86" s="11"/>
      <c r="J86" s="10"/>
    </row>
    <row r="87" spans="1:10" ht="15" customHeight="1" x14ac:dyDescent="0.2">
      <c r="A87" s="11"/>
      <c r="B87" s="10"/>
      <c r="E87" s="11"/>
      <c r="F87" s="10"/>
      <c r="I87" s="11"/>
      <c r="J87" s="10"/>
    </row>
    <row r="88" spans="1:10" ht="15" customHeight="1" x14ac:dyDescent="0.2">
      <c r="A88" s="11"/>
      <c r="B88" s="10"/>
      <c r="E88" s="11"/>
      <c r="F88" s="10"/>
      <c r="I88" s="11"/>
      <c r="J88" s="10"/>
    </row>
    <row r="89" spans="1:10" ht="15" customHeight="1" x14ac:dyDescent="0.2">
      <c r="A89" s="11"/>
      <c r="B89" s="10"/>
      <c r="E89" s="11"/>
      <c r="F89" s="10"/>
      <c r="I89" s="11"/>
      <c r="J89" s="10"/>
    </row>
    <row r="90" spans="1:10" ht="15" customHeight="1" x14ac:dyDescent="0.2">
      <c r="A90" s="11"/>
      <c r="B90" s="10"/>
      <c r="E90" s="11"/>
      <c r="F90" s="10"/>
      <c r="I90" s="11"/>
      <c r="J90" s="10"/>
    </row>
    <row r="91" spans="1:10" ht="15" customHeight="1" x14ac:dyDescent="0.2">
      <c r="A91" s="11"/>
      <c r="B91" s="10"/>
      <c r="E91" s="11"/>
      <c r="F91" s="10"/>
      <c r="I91" s="11"/>
      <c r="J91" s="10"/>
    </row>
    <row r="92" spans="1:10" ht="15" customHeight="1" x14ac:dyDescent="0.2">
      <c r="A92" s="11"/>
      <c r="B92" s="10"/>
      <c r="E92" s="11"/>
      <c r="F92" s="10"/>
      <c r="I92" s="11"/>
      <c r="J92" s="10"/>
    </row>
    <row r="93" spans="1:10" ht="15" customHeight="1" x14ac:dyDescent="0.2">
      <c r="A93" s="11"/>
      <c r="B93" s="10"/>
      <c r="E93" s="11"/>
      <c r="F93" s="10"/>
      <c r="I93" s="11"/>
      <c r="J93" s="10"/>
    </row>
    <row r="94" spans="1:10" ht="15" customHeight="1" x14ac:dyDescent="0.2">
      <c r="A94" s="11"/>
      <c r="B94" s="7"/>
      <c r="F94" s="7"/>
      <c r="J94" s="7"/>
    </row>
    <row r="95" spans="1:10" ht="15" customHeight="1" x14ac:dyDescent="0.2">
      <c r="A95" s="11"/>
    </row>
    <row r="96" spans="1:10" ht="15" customHeight="1" x14ac:dyDescent="0.2"/>
    <row r="97" spans="1:2" ht="15" customHeight="1" x14ac:dyDescent="0.2">
      <c r="A97" s="11"/>
    </row>
    <row r="98" spans="1:2" ht="17.25" customHeight="1" x14ac:dyDescent="0.2">
      <c r="B98" s="4"/>
    </row>
    <row r="99" spans="1:2" ht="16.5" customHeight="1" x14ac:dyDescent="0.2">
      <c r="B99" s="7"/>
    </row>
    <row r="100" spans="1:2" ht="17.25" customHeight="1" x14ac:dyDescent="0.2">
      <c r="B100" s="4"/>
    </row>
    <row r="101" spans="1:2" ht="17.25" customHeight="1" x14ac:dyDescent="0.2">
      <c r="B101" s="5"/>
    </row>
    <row r="102" spans="1:2" ht="15" customHeight="1" x14ac:dyDescent="0.2">
      <c r="B102" s="7"/>
    </row>
    <row r="103" spans="1:2" ht="15" customHeight="1" x14ac:dyDescent="0.2">
      <c r="B103" s="7"/>
    </row>
    <row r="104" spans="1:2" ht="15" customHeight="1" x14ac:dyDescent="0.2">
      <c r="B104" s="7"/>
    </row>
    <row r="105" spans="1:2" ht="15" customHeight="1" x14ac:dyDescent="0.2">
      <c r="B105" s="7"/>
    </row>
    <row r="106" spans="1:2" ht="15" customHeight="1" x14ac:dyDescent="0.2">
      <c r="B106" s="7"/>
    </row>
    <row r="107" spans="1:2" ht="15" customHeight="1" x14ac:dyDescent="0.2">
      <c r="B107" s="7"/>
    </row>
    <row r="108" spans="1:2" ht="15" customHeight="1" x14ac:dyDescent="0.2">
      <c r="B108" s="7"/>
    </row>
    <row r="109" spans="1:2" ht="15" customHeight="1" x14ac:dyDescent="0.2">
      <c r="B109" s="7"/>
    </row>
    <row r="110" spans="1:2" ht="15" customHeight="1" x14ac:dyDescent="0.2">
      <c r="B110" s="7"/>
    </row>
    <row r="111" spans="1:2" ht="15" customHeight="1" x14ac:dyDescent="0.2">
      <c r="B111" s="7"/>
    </row>
    <row r="112" spans="1:2" ht="15" customHeight="1" x14ac:dyDescent="0.2"/>
    <row r="113" spans="2:2" ht="17.25" customHeight="1" x14ac:dyDescent="0.2">
      <c r="B113" s="5"/>
    </row>
    <row r="114" spans="2:2" ht="15" customHeight="1" x14ac:dyDescent="0.2">
      <c r="B114" s="7"/>
    </row>
    <row r="115" spans="2:2" ht="15" customHeight="1" x14ac:dyDescent="0.2">
      <c r="B115" s="7"/>
    </row>
    <row r="116" spans="2:2" ht="15" customHeight="1" x14ac:dyDescent="0.2">
      <c r="B116" s="7"/>
    </row>
    <row r="117" spans="2:2" ht="15" customHeight="1" x14ac:dyDescent="0.2">
      <c r="B117" s="7"/>
    </row>
    <row r="118" spans="2:2" ht="15" customHeight="1" x14ac:dyDescent="0.2">
      <c r="B118" s="7"/>
    </row>
    <row r="119" spans="2:2" ht="15" customHeight="1" x14ac:dyDescent="0.2">
      <c r="B119" s="7"/>
    </row>
    <row r="120" spans="2:2" ht="15" customHeight="1" x14ac:dyDescent="0.2">
      <c r="B120" s="7"/>
    </row>
    <row r="121" spans="2:2" ht="15" customHeight="1" x14ac:dyDescent="0.2">
      <c r="B121" s="7"/>
    </row>
    <row r="122" spans="2:2" ht="15" customHeight="1" x14ac:dyDescent="0.2">
      <c r="B122" s="7"/>
    </row>
    <row r="123" spans="2:2" ht="15" customHeight="1" x14ac:dyDescent="0.2">
      <c r="B123" s="7"/>
    </row>
    <row r="124" spans="2:2" ht="15" customHeight="1" x14ac:dyDescent="0.2">
      <c r="B124" s="7"/>
    </row>
    <row r="125" spans="2:2" ht="15" customHeight="1" x14ac:dyDescent="0.2">
      <c r="B125" s="7"/>
    </row>
    <row r="126" spans="2:2" ht="15" customHeight="1" x14ac:dyDescent="0.2">
      <c r="B126" s="7"/>
    </row>
    <row r="127" spans="2:2" ht="15" customHeight="1" x14ac:dyDescent="0.2">
      <c r="B127" s="7"/>
    </row>
    <row r="128" spans="2:2" ht="15" customHeight="1" x14ac:dyDescent="0.2">
      <c r="B128" s="7"/>
    </row>
    <row r="129" spans="2:18" ht="15" customHeight="1" x14ac:dyDescent="0.2">
      <c r="B129" s="7"/>
    </row>
    <row r="130" spans="2:18" ht="15" customHeight="1" x14ac:dyDescent="0.2">
      <c r="B130" s="7"/>
    </row>
    <row r="131" spans="2:18" ht="15" customHeight="1" x14ac:dyDescent="0.2">
      <c r="B131" s="7"/>
    </row>
    <row r="132" spans="2:18" ht="15" customHeight="1" x14ac:dyDescent="0.2">
      <c r="B132" s="7"/>
    </row>
    <row r="133" spans="2:18" ht="15" customHeight="1" x14ac:dyDescent="0.2">
      <c r="B133" s="7"/>
    </row>
    <row r="134" spans="2:18" ht="15" customHeight="1" x14ac:dyDescent="0.2">
      <c r="B134" s="7"/>
    </row>
    <row r="135" spans="2:18" ht="15" customHeight="1" x14ac:dyDescent="0.2"/>
    <row r="136" spans="2:18" ht="15" customHeight="1" x14ac:dyDescent="0.2">
      <c r="Q136" s="12"/>
      <c r="R136" s="6"/>
    </row>
  </sheetData>
  <hyperlinks>
    <hyperlink ref="A8" location="'European Union'!A1" display="European Union" xr:uid="{00000000-0004-0000-0000-000002000000}"/>
    <hyperlink ref="A9" location="'Euro area'!A1" display="Euro area" xr:uid="{03A83E8D-E974-4F92-A896-D41F3848D58E}"/>
    <hyperlink ref="A10" location="Belgium!A1" display="Belgium" xr:uid="{7F09624F-D066-4EE6-A41A-FE913C398011}"/>
    <hyperlink ref="A11" location="Bulgaria!A1" display="Bulgaria" xr:uid="{DB7C4634-2E40-4CCB-9668-85A0D74D8E2D}"/>
    <hyperlink ref="A12" location="Czechia!A1" display="Czechia" xr:uid="{E1A59B71-8E53-4D2F-96A6-614FE36A8E8A}"/>
    <hyperlink ref="A13" location="Denmark!A1" display="Denmark" xr:uid="{35351C7E-C946-480A-864B-16C5D9E67A6D}"/>
    <hyperlink ref="A14" location="Germany!A1" display="Germany" xr:uid="{F3A71BAB-D995-443F-B107-C999825506D1}"/>
    <hyperlink ref="A15" location="Estonia!A1" display="Estonia" xr:uid="{99FDF21C-2BF1-4896-8824-F8C07BEDE805}"/>
    <hyperlink ref="A16" location="Ireland!A1" display="Ireland" xr:uid="{B81BF69F-2B2C-4821-BACA-B82E8E661945}"/>
    <hyperlink ref="A17" location="Greece!A1" display="Greece" xr:uid="{E9B9ADF9-8194-4DBD-A12B-4A44C84D6405}"/>
    <hyperlink ref="A18" location="Spain!A1" display="Spain" xr:uid="{B7B25E00-37D8-44D5-A44C-6303D619A6AF}"/>
    <hyperlink ref="A19" location="France!A1" display="France" xr:uid="{F9EEBC74-6DB1-428F-AC84-6C5140113517}"/>
    <hyperlink ref="A20" location="Croatia!A1" display="Croatia" xr:uid="{F47C6911-1543-4484-8541-8D8B535AD316}"/>
    <hyperlink ref="A21" location="Italy!A1" display="Italy" xr:uid="{283568B7-1272-40E8-A873-2FFFCB2BADA3}"/>
    <hyperlink ref="A22" location="Cyprus!A1" display="Cyprus" xr:uid="{F5DB077C-FB9E-4033-81B2-024AADE390E8}"/>
    <hyperlink ref="A23" location="Latvia!A1" display="Latvia" xr:uid="{CC489AEC-583D-47DE-9C61-BD52935B4356}"/>
    <hyperlink ref="A24" location="Lithuania!A1" display="Lithuania" xr:uid="{4FA6894F-B4CC-4588-A87A-77C7B05B22AB}"/>
    <hyperlink ref="A25" location="Luxembourg!A1" display="Luxembourg" xr:uid="{F1E2650F-29F2-415E-95B1-0E99E1BF3C18}"/>
    <hyperlink ref="A26" location="Hungary!A1" display="Hungary" xr:uid="{784F5DB4-9661-4609-ABFF-8C4EDBCF272D}"/>
    <hyperlink ref="A27" location="Malta!A1" display="Malta" xr:uid="{F004C67E-9638-469C-AD67-1BFA133DBF81}"/>
    <hyperlink ref="A28" location="Netherlands!A1" display="Netherlands" xr:uid="{A2BE68C5-5698-4263-B0C7-FE82C1C21826}"/>
    <hyperlink ref="A29" location="Austria!A1" display="Austria" xr:uid="{0C723DFE-8C28-438C-A3B8-F0EED8F9C19C}"/>
    <hyperlink ref="A30" location="Poland!A1" display="Poland" xr:uid="{92412270-FDDD-4682-97B0-8E6C0FA3D0C6}"/>
    <hyperlink ref="A31" location="Portugal!A1" display="Portugal" xr:uid="{7439A140-C14C-4512-B6CD-22ABA63A2CB9}"/>
    <hyperlink ref="A32" location="Romania!A1" display="Romania" xr:uid="{09E14FDF-AB94-4141-96AA-1831DCD1A474}"/>
    <hyperlink ref="A33" location="Slovenia!A1" display="Slovenia" xr:uid="{21D718B1-662D-45EA-9546-473AD58D9FCE}"/>
    <hyperlink ref="A34" location="Slovakia!A1" display="Slovakia" xr:uid="{EFE959C6-E48E-452B-AAFA-801C68CC46CC}"/>
    <hyperlink ref="A35" location="Finland!A1" display="Finland" xr:uid="{B5F4F6FD-F2C3-4258-A6A3-9B6B8134B18A}"/>
    <hyperlink ref="A36" location="Sweden!A1" display="Sweden" xr:uid="{0BFF6D44-58DE-4681-8937-38C2A4BF65B5}"/>
    <hyperlink ref="A37" location="Norway!A1" display="Norway" xr:uid="{8BF1EAE2-B9DD-4868-83C2-D5A108A82950}"/>
    <hyperlink ref="A7" location="'Cross country comparisons'!A1" display="Euro area" xr:uid="{6C0FDCED-4B8E-4F67-AD45-2073224608F5}"/>
    <hyperlink ref="A4" r:id="rId1" xr:uid="{282CC118-A8BE-4332-AB80-253CDF5622AA}"/>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DF36-2961-47BE-82B9-C8DBFF963A90}">
  <sheetPr>
    <tabColor theme="8" tint="0.39997558519241921"/>
  </sheetPr>
  <dimension ref="A1:M109"/>
  <sheetViews>
    <sheetView zoomScaleNormal="100" workbookViewId="0"/>
  </sheetViews>
  <sheetFormatPr defaultRowHeight="12.75" x14ac:dyDescent="0.2"/>
  <cols>
    <col min="1" max="1" width="44.42578125" customWidth="1"/>
    <col min="2" max="2" width="17.140625" customWidth="1"/>
    <col min="3" max="3" width="18.85546875" customWidth="1"/>
    <col min="4" max="9" width="17.140625" customWidth="1"/>
    <col min="15" max="15" width="7.140625" customWidth="1"/>
    <col min="16" max="16" width="11.85546875" bestFit="1" customWidth="1"/>
    <col min="17" max="17" width="9.5703125" customWidth="1"/>
    <col min="18" max="18" width="7.42578125" customWidth="1"/>
    <col min="29" max="29" width="11.5703125" customWidth="1"/>
    <col min="30" max="30" width="3.5703125" customWidth="1"/>
    <col min="31" max="31" width="2.5703125" customWidth="1"/>
    <col min="44" max="44" width="7.140625" customWidth="1"/>
  </cols>
  <sheetData>
    <row r="1" spans="1:13" ht="49.5" customHeight="1" x14ac:dyDescent="0.2">
      <c r="A1" s="31" t="s">
        <v>121</v>
      </c>
    </row>
    <row r="2" spans="1:13" ht="177.75" customHeight="1" x14ac:dyDescent="0.2">
      <c r="A2" s="17" t="s">
        <v>141</v>
      </c>
    </row>
    <row r="3" spans="1:13" ht="333.6" customHeight="1" x14ac:dyDescent="0.2">
      <c r="A3" s="17" t="s">
        <v>130</v>
      </c>
    </row>
    <row r="4" spans="1:13" ht="15.75" x14ac:dyDescent="0.2">
      <c r="A4" s="17"/>
    </row>
    <row r="5" spans="1:13" ht="305.10000000000002" customHeight="1" x14ac:dyDescent="0.2">
      <c r="A5" s="17" t="s">
        <v>131</v>
      </c>
    </row>
    <row r="6" spans="1:13" ht="15.75" x14ac:dyDescent="0.2">
      <c r="A6" s="17"/>
    </row>
    <row r="7" spans="1:13" ht="311.10000000000002" customHeight="1" x14ac:dyDescent="0.2">
      <c r="A7" s="17" t="s">
        <v>132</v>
      </c>
    </row>
    <row r="8" spans="1:13" ht="15.75" x14ac:dyDescent="0.2">
      <c r="A8" s="17"/>
    </row>
    <row r="9" spans="1:13" ht="95.25" thickBot="1" x14ac:dyDescent="0.25">
      <c r="A9" s="36" t="s">
        <v>127</v>
      </c>
    </row>
    <row r="10" spans="1:13" ht="15.75" thickBot="1" x14ac:dyDescent="0.25">
      <c r="A10" s="66" t="s">
        <v>122</v>
      </c>
      <c r="B10" s="57" t="s">
        <v>87</v>
      </c>
      <c r="C10" s="56" t="s">
        <v>87</v>
      </c>
      <c r="D10" s="56" t="s">
        <v>87</v>
      </c>
      <c r="E10" s="58" t="s">
        <v>87</v>
      </c>
      <c r="F10" s="52"/>
      <c r="G10" s="52"/>
      <c r="H10" s="52"/>
      <c r="I10" s="52"/>
      <c r="J10" s="52"/>
      <c r="K10" s="52"/>
      <c r="L10" s="52"/>
      <c r="M10" s="52"/>
    </row>
    <row r="11" spans="1:13" ht="15" x14ac:dyDescent="0.25">
      <c r="A11" s="67" t="s">
        <v>123</v>
      </c>
      <c r="B11" s="53" t="s">
        <v>85</v>
      </c>
      <c r="C11" s="53" t="s">
        <v>86</v>
      </c>
      <c r="D11" s="53" t="s">
        <v>125</v>
      </c>
      <c r="E11" s="59" t="s">
        <v>120</v>
      </c>
    </row>
    <row r="12" spans="1:13" ht="15" x14ac:dyDescent="0.25">
      <c r="A12" s="68" t="s">
        <v>90</v>
      </c>
      <c r="B12" s="54">
        <v>0.23026097500275491</v>
      </c>
      <c r="C12" s="54">
        <v>0.4412678534520218</v>
      </c>
      <c r="D12" s="54">
        <v>0.74585581446374838</v>
      </c>
      <c r="E12" s="60">
        <v>1.4173846429185251</v>
      </c>
    </row>
    <row r="13" spans="1:13" ht="15.75" thickBot="1" x14ac:dyDescent="0.3">
      <c r="A13" s="69" t="s">
        <v>91</v>
      </c>
      <c r="B13" s="61">
        <v>0.2546348115463638</v>
      </c>
      <c r="C13" s="61">
        <v>0.43797654505963657</v>
      </c>
      <c r="D13" s="61">
        <v>0.5646919788093443</v>
      </c>
      <c r="E13" s="62">
        <v>1.2573033354153449</v>
      </c>
    </row>
    <row r="14" spans="1:13" ht="15" x14ac:dyDescent="0.25">
      <c r="A14" s="70" t="s">
        <v>99</v>
      </c>
      <c r="B14" s="55">
        <v>0.17433660844604407</v>
      </c>
      <c r="C14" s="55">
        <v>9.6703849427314831E-2</v>
      </c>
      <c r="D14" s="55">
        <v>6.579451155032745E-2</v>
      </c>
      <c r="E14" s="75">
        <v>0.33683496942368646</v>
      </c>
    </row>
    <row r="15" spans="1:13" ht="15" x14ac:dyDescent="0.25">
      <c r="A15" s="67" t="s">
        <v>103</v>
      </c>
      <c r="B15" s="53">
        <v>5.453165306235902E-2</v>
      </c>
      <c r="C15" s="53">
        <v>0.22812377733682215</v>
      </c>
      <c r="D15" s="53">
        <v>0.12135773199014241</v>
      </c>
      <c r="E15" s="59">
        <v>0.40401316238932355</v>
      </c>
    </row>
    <row r="16" spans="1:13" ht="15" x14ac:dyDescent="0.25">
      <c r="A16" s="68" t="s">
        <v>113</v>
      </c>
      <c r="B16" s="54">
        <v>-9.5219179229414821E-2</v>
      </c>
      <c r="C16" s="54">
        <v>7.1303025403550116E-2</v>
      </c>
      <c r="D16" s="54">
        <v>0.82482194239091167</v>
      </c>
      <c r="E16" s="60">
        <v>0.80090578856504702</v>
      </c>
    </row>
    <row r="17" spans="1:5" ht="15" x14ac:dyDescent="0.25">
      <c r="A17" s="67" t="s">
        <v>117</v>
      </c>
      <c r="B17" s="53">
        <v>0.23823862949448693</v>
      </c>
      <c r="C17" s="53">
        <v>0.52759197600328578</v>
      </c>
      <c r="D17" s="53">
        <v>0.25927063422157037</v>
      </c>
      <c r="E17" s="59">
        <v>1.0251012397193431</v>
      </c>
    </row>
    <row r="18" spans="1:5" ht="15" x14ac:dyDescent="0.25">
      <c r="A18" s="68" t="s">
        <v>96</v>
      </c>
      <c r="B18" s="54">
        <v>0.16286642431631129</v>
      </c>
      <c r="C18" s="54">
        <v>0.22265435729124244</v>
      </c>
      <c r="D18" s="54">
        <v>0.78250569638050727</v>
      </c>
      <c r="E18" s="60">
        <v>1.1680264779880611</v>
      </c>
    </row>
    <row r="19" spans="1:5" ht="15" x14ac:dyDescent="0.25">
      <c r="A19" s="67" t="s">
        <v>101</v>
      </c>
      <c r="B19" s="53">
        <v>0.41840871710574762</v>
      </c>
      <c r="C19" s="53">
        <v>0.49603586832576746</v>
      </c>
      <c r="D19" s="53">
        <v>0.2979566419336005</v>
      </c>
      <c r="E19" s="59">
        <v>1.2124012273651157</v>
      </c>
    </row>
    <row r="20" spans="1:5" ht="15" x14ac:dyDescent="0.25">
      <c r="A20" s="68" t="s">
        <v>95</v>
      </c>
      <c r="B20" s="54">
        <v>0.193480191344298</v>
      </c>
      <c r="C20" s="54">
        <v>0.58875531880248033</v>
      </c>
      <c r="D20" s="54">
        <v>0.48190300123605434</v>
      </c>
      <c r="E20" s="60">
        <v>1.2641385113828327</v>
      </c>
    </row>
    <row r="21" spans="1:5" ht="15" x14ac:dyDescent="0.25">
      <c r="A21" s="67" t="s">
        <v>100</v>
      </c>
      <c r="B21" s="53">
        <v>0.36070089154196755</v>
      </c>
      <c r="C21" s="53">
        <v>0.79001873143454426</v>
      </c>
      <c r="D21" s="53">
        <v>0.1952519321697602</v>
      </c>
      <c r="E21" s="59">
        <v>1.3459715551462721</v>
      </c>
    </row>
    <row r="22" spans="1:5" ht="15" x14ac:dyDescent="0.25">
      <c r="A22" s="68" t="s">
        <v>111</v>
      </c>
      <c r="B22" s="54">
        <v>0.19915310326347488</v>
      </c>
      <c r="C22" s="54">
        <v>0.49863085530477541</v>
      </c>
      <c r="D22" s="54">
        <v>0.85355839907119369</v>
      </c>
      <c r="E22" s="60">
        <v>1.5513423576394441</v>
      </c>
    </row>
    <row r="23" spans="1:5" ht="15" x14ac:dyDescent="0.25">
      <c r="A23" s="67" t="s">
        <v>92</v>
      </c>
      <c r="B23" s="53">
        <v>0.68992494556268791</v>
      </c>
      <c r="C23" s="53">
        <v>0.40888676692740489</v>
      </c>
      <c r="D23" s="53">
        <v>0.54350980679152461</v>
      </c>
      <c r="E23" s="59">
        <v>1.6423215192816172</v>
      </c>
    </row>
    <row r="24" spans="1:5" ht="15" x14ac:dyDescent="0.25">
      <c r="A24" s="68" t="s">
        <v>110</v>
      </c>
      <c r="B24" s="54">
        <v>0.53489890819004748</v>
      </c>
      <c r="C24" s="54">
        <v>0.44142701041357912</v>
      </c>
      <c r="D24" s="54">
        <v>0.68584921344008642</v>
      </c>
      <c r="E24" s="60">
        <v>1.662175132043713</v>
      </c>
    </row>
    <row r="25" spans="1:5" ht="15" x14ac:dyDescent="0.25">
      <c r="A25" s="67" t="s">
        <v>118</v>
      </c>
      <c r="B25" s="53">
        <v>0.47005081758201656</v>
      </c>
      <c r="C25" s="53">
        <v>0.8902732002127377</v>
      </c>
      <c r="D25" s="53">
        <v>0.66995529791038611</v>
      </c>
      <c r="E25" s="59">
        <v>2.0302793157051404</v>
      </c>
    </row>
    <row r="26" spans="1:5" ht="15" x14ac:dyDescent="0.25">
      <c r="A26" s="68" t="s">
        <v>102</v>
      </c>
      <c r="B26" s="54">
        <v>0.32073111738173549</v>
      </c>
      <c r="C26" s="54">
        <v>1.0370673660950676</v>
      </c>
      <c r="D26" s="54">
        <v>0.74962625620791645</v>
      </c>
      <c r="E26" s="60">
        <v>2.1074247396847192</v>
      </c>
    </row>
    <row r="27" spans="1:5" ht="15" x14ac:dyDescent="0.25">
      <c r="A27" s="67" t="s">
        <v>115</v>
      </c>
      <c r="B27" s="53">
        <v>0.38376157316813486</v>
      </c>
      <c r="C27" s="53">
        <v>0.33438288555061679</v>
      </c>
      <c r="D27" s="53">
        <v>1.7099469243653784</v>
      </c>
      <c r="E27" s="59">
        <v>2.42809138308413</v>
      </c>
    </row>
    <row r="28" spans="1:5" ht="15" x14ac:dyDescent="0.25">
      <c r="A28" s="68" t="s">
        <v>107</v>
      </c>
      <c r="B28" s="54">
        <v>1.3527057617507969</v>
      </c>
      <c r="C28" s="54">
        <v>1.4497265912434387</v>
      </c>
      <c r="D28" s="54">
        <v>-0.35944219525351573</v>
      </c>
      <c r="E28" s="60">
        <v>2.44299015774072</v>
      </c>
    </row>
    <row r="29" spans="1:5" ht="15" x14ac:dyDescent="0.25">
      <c r="A29" s="67" t="s">
        <v>94</v>
      </c>
      <c r="B29" s="53">
        <v>0.18598072396860935</v>
      </c>
      <c r="C29" s="53">
        <v>0.9102594425607019</v>
      </c>
      <c r="D29" s="53">
        <v>1.3876028012320798</v>
      </c>
      <c r="E29" s="59">
        <v>2.4838429677613911</v>
      </c>
    </row>
    <row r="30" spans="1:5" ht="15" x14ac:dyDescent="0.25">
      <c r="A30" s="68" t="s">
        <v>108</v>
      </c>
      <c r="B30" s="54">
        <v>6.4942984409565099E-2</v>
      </c>
      <c r="C30" s="54">
        <v>0.57579666386733164</v>
      </c>
      <c r="D30" s="54">
        <v>1.8474867311865864</v>
      </c>
      <c r="E30" s="60">
        <v>2.4882263794634829</v>
      </c>
    </row>
    <row r="31" spans="1:5" ht="15" x14ac:dyDescent="0.25">
      <c r="A31" s="67" t="s">
        <v>104</v>
      </c>
      <c r="B31" s="53">
        <v>1.0048021791335429</v>
      </c>
      <c r="C31" s="53">
        <v>0.89968025961358356</v>
      </c>
      <c r="D31" s="53">
        <v>0.92543869928799349</v>
      </c>
      <c r="E31" s="59">
        <v>2.8299211380351204</v>
      </c>
    </row>
    <row r="32" spans="1:5" ht="15" x14ac:dyDescent="0.25">
      <c r="A32" s="68" t="s">
        <v>105</v>
      </c>
      <c r="B32" s="54">
        <v>-0.54409472165703665</v>
      </c>
      <c r="C32" s="54">
        <v>1.1725494879824185</v>
      </c>
      <c r="D32" s="54">
        <v>2.49647319151754</v>
      </c>
      <c r="E32" s="60">
        <v>3.1249279578429219</v>
      </c>
    </row>
    <row r="33" spans="1:5" ht="15" x14ac:dyDescent="0.25">
      <c r="A33" s="67" t="s">
        <v>97</v>
      </c>
      <c r="B33" s="53">
        <v>-0.15590264748987659</v>
      </c>
      <c r="C33" s="53">
        <v>1.8123824061200284</v>
      </c>
      <c r="D33" s="53">
        <v>1.4923711289200747</v>
      </c>
      <c r="E33" s="59">
        <v>3.1488508875502275</v>
      </c>
    </row>
    <row r="34" spans="1:5" ht="15" x14ac:dyDescent="0.25">
      <c r="A34" s="68" t="s">
        <v>93</v>
      </c>
      <c r="B34" s="54">
        <v>9.6738740829906966E-2</v>
      </c>
      <c r="C34" s="54">
        <v>0.44632077771975487</v>
      </c>
      <c r="D34" s="54">
        <v>2.7562657794007963</v>
      </c>
      <c r="E34" s="60">
        <v>3.2993252979504581</v>
      </c>
    </row>
    <row r="35" spans="1:5" ht="15" x14ac:dyDescent="0.25">
      <c r="A35" s="67" t="s">
        <v>116</v>
      </c>
      <c r="B35" s="53">
        <v>0.12797335075165114</v>
      </c>
      <c r="C35" s="53">
        <v>0.97798902671879284</v>
      </c>
      <c r="D35" s="53">
        <v>2.2551539120097623</v>
      </c>
      <c r="E35" s="59">
        <v>3.3611162894802065</v>
      </c>
    </row>
    <row r="36" spans="1:5" ht="15" x14ac:dyDescent="0.25">
      <c r="A36" s="68" t="s">
        <v>114</v>
      </c>
      <c r="B36" s="54">
        <v>-0.72092821505017524</v>
      </c>
      <c r="C36" s="54">
        <v>0.83978774059938543</v>
      </c>
      <c r="D36" s="54">
        <v>3.373927642845743</v>
      </c>
      <c r="E36" s="60">
        <v>3.4927871683949521</v>
      </c>
    </row>
    <row r="37" spans="1:5" ht="15" x14ac:dyDescent="0.25">
      <c r="A37" s="67" t="s">
        <v>112</v>
      </c>
      <c r="B37" s="53">
        <v>0.48932690122366662</v>
      </c>
      <c r="C37" s="53">
        <v>1.362258531073048</v>
      </c>
      <c r="D37" s="53">
        <v>1.9127977218863854</v>
      </c>
      <c r="E37" s="59">
        <v>3.7643831541830988</v>
      </c>
    </row>
    <row r="38" spans="1:5" ht="15" x14ac:dyDescent="0.25">
      <c r="A38" s="68" t="s">
        <v>106</v>
      </c>
      <c r="B38" s="54">
        <v>0.15535247744299743</v>
      </c>
      <c r="C38" s="54">
        <v>1.287466912285862</v>
      </c>
      <c r="D38" s="54">
        <v>2.4138409004952579</v>
      </c>
      <c r="E38" s="60">
        <v>3.8566602902241169</v>
      </c>
    </row>
    <row r="39" spans="1:5" ht="15" x14ac:dyDescent="0.25">
      <c r="A39" s="67" t="s">
        <v>109</v>
      </c>
      <c r="B39" s="53">
        <v>1.2971346280032197</v>
      </c>
      <c r="C39" s="53">
        <v>1.5658149478907115</v>
      </c>
      <c r="D39" s="53">
        <v>1.951515070019846</v>
      </c>
      <c r="E39" s="59">
        <v>4.8144646459137777</v>
      </c>
    </row>
    <row r="40" spans="1:5" ht="15.75" thickBot="1" x14ac:dyDescent="0.3">
      <c r="A40" s="71" t="s">
        <v>98</v>
      </c>
      <c r="B40" s="63">
        <v>0.38151825262895589</v>
      </c>
      <c r="C40" s="63">
        <v>3.0129439648090361</v>
      </c>
      <c r="D40" s="63">
        <v>1.6999149868031891</v>
      </c>
      <c r="E40" s="76">
        <v>5.0943772042411819</v>
      </c>
    </row>
    <row r="41" spans="1:5" ht="15.75" thickBot="1" x14ac:dyDescent="0.3">
      <c r="A41" s="72" t="s">
        <v>119</v>
      </c>
      <c r="B41" s="64">
        <v>0.5630743242436439</v>
      </c>
      <c r="C41" s="64">
        <v>1.0706616587450541</v>
      </c>
      <c r="D41" s="64">
        <v>-0.14871092069384831</v>
      </c>
      <c r="E41" s="65">
        <v>1.4850250622948498</v>
      </c>
    </row>
    <row r="43" spans="1:5" ht="95.25" thickBot="1" x14ac:dyDescent="0.25">
      <c r="A43" s="36" t="s">
        <v>129</v>
      </c>
    </row>
    <row r="44" spans="1:5" ht="15.75" thickBot="1" x14ac:dyDescent="0.25">
      <c r="A44" s="66" t="s">
        <v>122</v>
      </c>
      <c r="B44" s="57" t="s">
        <v>88</v>
      </c>
      <c r="C44" s="56" t="s">
        <v>88</v>
      </c>
      <c r="D44" s="56" t="s">
        <v>88</v>
      </c>
      <c r="E44" s="58" t="s">
        <v>88</v>
      </c>
    </row>
    <row r="45" spans="1:5" ht="15" x14ac:dyDescent="0.25">
      <c r="A45" s="67" t="s">
        <v>123</v>
      </c>
      <c r="B45" s="53" t="s">
        <v>85</v>
      </c>
      <c r="C45" s="53" t="s">
        <v>86</v>
      </c>
      <c r="D45" s="53" t="s">
        <v>126</v>
      </c>
      <c r="E45" s="59" t="s">
        <v>120</v>
      </c>
    </row>
    <row r="46" spans="1:5" ht="15" x14ac:dyDescent="0.25">
      <c r="A46" s="68" t="s">
        <v>90</v>
      </c>
      <c r="B46" s="54">
        <v>0.1011472174780475</v>
      </c>
      <c r="C46" s="54">
        <v>0.61062432295482805</v>
      </c>
      <c r="D46" s="54">
        <v>0.60211303500555446</v>
      </c>
      <c r="E46" s="60">
        <v>1.3138845754384301</v>
      </c>
    </row>
    <row r="47" spans="1:5" ht="15.75" thickBot="1" x14ac:dyDescent="0.3">
      <c r="A47" s="69" t="s">
        <v>91</v>
      </c>
      <c r="B47" s="61">
        <v>0.18783427077842688</v>
      </c>
      <c r="C47" s="61">
        <v>0.62677438789080808</v>
      </c>
      <c r="D47" s="61">
        <v>0.34196159884114724</v>
      </c>
      <c r="E47" s="62">
        <v>1.1565702575103822</v>
      </c>
    </row>
    <row r="48" spans="1:5" ht="15" x14ac:dyDescent="0.25">
      <c r="A48" s="70" t="s">
        <v>103</v>
      </c>
      <c r="B48" s="55">
        <v>9.0508826436537626E-2</v>
      </c>
      <c r="C48" s="55">
        <v>0.58701668662587858</v>
      </c>
      <c r="D48" s="55">
        <v>-0.49820325447387759</v>
      </c>
      <c r="E48" s="75">
        <v>0.17932225858853851</v>
      </c>
    </row>
    <row r="49" spans="1:5" ht="15" x14ac:dyDescent="0.25">
      <c r="A49" s="67" t="s">
        <v>95</v>
      </c>
      <c r="B49" s="53">
        <v>-0.23050365806737971</v>
      </c>
      <c r="C49" s="53">
        <v>0.42857470624149807</v>
      </c>
      <c r="D49" s="53">
        <v>0.44213142364031571</v>
      </c>
      <c r="E49" s="59">
        <v>0.64020247181443402</v>
      </c>
    </row>
    <row r="50" spans="1:5" ht="15" x14ac:dyDescent="0.25">
      <c r="A50" s="68" t="s">
        <v>113</v>
      </c>
      <c r="B50" s="54">
        <v>-0.42235115290727676</v>
      </c>
      <c r="C50" s="54">
        <v>0.53955500003399215</v>
      </c>
      <c r="D50" s="54">
        <v>0.53812583216060439</v>
      </c>
      <c r="E50" s="60">
        <v>0.65532967928731978</v>
      </c>
    </row>
    <row r="51" spans="1:5" ht="15" x14ac:dyDescent="0.25">
      <c r="A51" s="67" t="s">
        <v>96</v>
      </c>
      <c r="B51" s="53">
        <v>4.8538095880335169E-2</v>
      </c>
      <c r="C51" s="53">
        <v>0.23324861884155468</v>
      </c>
      <c r="D51" s="53">
        <v>0.62669611546055082</v>
      </c>
      <c r="E51" s="59">
        <v>0.90848283018244069</v>
      </c>
    </row>
    <row r="52" spans="1:5" ht="15" x14ac:dyDescent="0.25">
      <c r="A52" s="68" t="s">
        <v>101</v>
      </c>
      <c r="B52" s="54">
        <v>0.2753896968480688</v>
      </c>
      <c r="C52" s="54">
        <v>0.61248791339797071</v>
      </c>
      <c r="D52" s="54">
        <v>0.41573579549349116</v>
      </c>
      <c r="E52" s="60">
        <v>1.3036134057395306</v>
      </c>
    </row>
    <row r="53" spans="1:5" ht="15" x14ac:dyDescent="0.25">
      <c r="A53" s="67" t="s">
        <v>110</v>
      </c>
      <c r="B53" s="53">
        <v>0.16394121471352868</v>
      </c>
      <c r="C53" s="53">
        <v>0.52866618391101339</v>
      </c>
      <c r="D53" s="53">
        <v>0.66540536522955507</v>
      </c>
      <c r="E53" s="59">
        <v>1.3580127638540971</v>
      </c>
    </row>
    <row r="54" spans="1:5" ht="15" x14ac:dyDescent="0.25">
      <c r="A54" s="68" t="s">
        <v>117</v>
      </c>
      <c r="B54" s="54">
        <v>0.22255664191084476</v>
      </c>
      <c r="C54" s="54">
        <v>0.61657279774642226</v>
      </c>
      <c r="D54" s="54">
        <v>0.65546400315911002</v>
      </c>
      <c r="E54" s="60">
        <v>1.494593442816377</v>
      </c>
    </row>
    <row r="55" spans="1:5" ht="15" x14ac:dyDescent="0.25">
      <c r="A55" s="67" t="s">
        <v>111</v>
      </c>
      <c r="B55" s="53">
        <v>7.0081676494755538E-2</v>
      </c>
      <c r="C55" s="53">
        <v>0.55974285761390374</v>
      </c>
      <c r="D55" s="53">
        <v>0.98572549583442004</v>
      </c>
      <c r="E55" s="59">
        <v>1.6155500299430789</v>
      </c>
    </row>
    <row r="56" spans="1:5" ht="15" x14ac:dyDescent="0.25">
      <c r="A56" s="68" t="s">
        <v>92</v>
      </c>
      <c r="B56" s="54">
        <v>0.60477950591118113</v>
      </c>
      <c r="C56" s="54">
        <v>0.43684706742883583</v>
      </c>
      <c r="D56" s="54">
        <v>0.73235488569981511</v>
      </c>
      <c r="E56" s="60">
        <v>1.773981459039832</v>
      </c>
    </row>
    <row r="57" spans="1:5" ht="15" x14ac:dyDescent="0.25">
      <c r="A57" s="67" t="s">
        <v>99</v>
      </c>
      <c r="B57" s="53">
        <v>0.21271341319820047</v>
      </c>
      <c r="C57" s="53">
        <v>1.1205554118876269</v>
      </c>
      <c r="D57" s="53">
        <v>0.51344509982131947</v>
      </c>
      <c r="E57" s="59">
        <v>1.8467139249071469</v>
      </c>
    </row>
    <row r="58" spans="1:5" ht="15" x14ac:dyDescent="0.25">
      <c r="A58" s="68" t="s">
        <v>108</v>
      </c>
      <c r="B58" s="54">
        <v>-0.78156131867856793</v>
      </c>
      <c r="C58" s="54">
        <v>0.59804889577399878</v>
      </c>
      <c r="D58" s="54">
        <v>2.0527725865883335</v>
      </c>
      <c r="E58" s="60">
        <v>1.8692601636837638</v>
      </c>
    </row>
    <row r="59" spans="1:5" ht="15" x14ac:dyDescent="0.25">
      <c r="A59" s="67" t="s">
        <v>100</v>
      </c>
      <c r="B59" s="53">
        <v>0.64700705011774573</v>
      </c>
      <c r="C59" s="53">
        <v>1.3470297201853745</v>
      </c>
      <c r="D59" s="53">
        <v>-0.11356103433110117</v>
      </c>
      <c r="E59" s="59">
        <v>1.880475735972019</v>
      </c>
    </row>
    <row r="60" spans="1:5" ht="15" x14ac:dyDescent="0.25">
      <c r="A60" s="68" t="s">
        <v>118</v>
      </c>
      <c r="B60" s="54">
        <v>0.21742172147499825</v>
      </c>
      <c r="C60" s="54">
        <v>0.94210109010988852</v>
      </c>
      <c r="D60" s="54">
        <v>0.96913603459184605</v>
      </c>
      <c r="E60" s="60">
        <v>2.1286588461767328</v>
      </c>
    </row>
    <row r="61" spans="1:5" ht="15" x14ac:dyDescent="0.25">
      <c r="A61" s="67" t="s">
        <v>102</v>
      </c>
      <c r="B61" s="53">
        <v>0.75794367390645911</v>
      </c>
      <c r="C61" s="53">
        <v>1.5592945693066973</v>
      </c>
      <c r="D61" s="53">
        <v>0.22795973035138795</v>
      </c>
      <c r="E61" s="59">
        <v>2.545197973564544</v>
      </c>
    </row>
    <row r="62" spans="1:5" ht="15" x14ac:dyDescent="0.25">
      <c r="A62" s="68" t="s">
        <v>98</v>
      </c>
      <c r="B62" s="54">
        <v>-0.44322987908923928</v>
      </c>
      <c r="C62" s="54">
        <v>2.5344751094646401</v>
      </c>
      <c r="D62" s="54">
        <v>0.47844536250139835</v>
      </c>
      <c r="E62" s="60">
        <v>2.5696905928767992</v>
      </c>
    </row>
    <row r="63" spans="1:5" ht="15" x14ac:dyDescent="0.25">
      <c r="A63" s="67" t="s">
        <v>115</v>
      </c>
      <c r="B63" s="53">
        <v>0.28408587505403093</v>
      </c>
      <c r="C63" s="53">
        <v>0.73508049074162796</v>
      </c>
      <c r="D63" s="53">
        <v>1.7358749779990539</v>
      </c>
      <c r="E63" s="59">
        <v>2.7550413437947125</v>
      </c>
    </row>
    <row r="64" spans="1:5" ht="15" x14ac:dyDescent="0.25">
      <c r="A64" s="68" t="s">
        <v>107</v>
      </c>
      <c r="B64" s="54">
        <v>1.296583191669197</v>
      </c>
      <c r="C64" s="54">
        <v>1.6098114468009224</v>
      </c>
      <c r="D64" s="54">
        <v>-7.6339581009369287E-2</v>
      </c>
      <c r="E64" s="60">
        <v>2.8300550574607501</v>
      </c>
    </row>
    <row r="65" spans="1:5" ht="15" x14ac:dyDescent="0.25">
      <c r="A65" s="67" t="s">
        <v>109</v>
      </c>
      <c r="B65" s="53">
        <v>0.37662596094868256</v>
      </c>
      <c r="C65" s="53">
        <v>0.93933002001574528</v>
      </c>
      <c r="D65" s="53">
        <v>1.6531201698064211</v>
      </c>
      <c r="E65" s="59">
        <v>2.969076150770849</v>
      </c>
    </row>
    <row r="66" spans="1:5" ht="15" x14ac:dyDescent="0.25">
      <c r="A66" s="68" t="s">
        <v>94</v>
      </c>
      <c r="B66" s="54">
        <v>0.17796589111929551</v>
      </c>
      <c r="C66" s="54">
        <v>1.0358562476608673</v>
      </c>
      <c r="D66" s="54">
        <v>1.9642999199886841</v>
      </c>
      <c r="E66" s="60">
        <v>3.1781220587688472</v>
      </c>
    </row>
    <row r="67" spans="1:5" ht="15" x14ac:dyDescent="0.25">
      <c r="A67" s="67" t="s">
        <v>97</v>
      </c>
      <c r="B67" s="53">
        <v>-0.91018035516969931</v>
      </c>
      <c r="C67" s="53">
        <v>2.4068864139467947</v>
      </c>
      <c r="D67" s="53">
        <v>1.6822030394329361</v>
      </c>
      <c r="E67" s="59">
        <v>3.1789090982100316</v>
      </c>
    </row>
    <row r="68" spans="1:5" ht="15" x14ac:dyDescent="0.25">
      <c r="A68" s="68" t="s">
        <v>104</v>
      </c>
      <c r="B68" s="54">
        <v>1.3132431240195415</v>
      </c>
      <c r="C68" s="54">
        <v>1.3289569078219603</v>
      </c>
      <c r="D68" s="54">
        <v>0.61400274290219536</v>
      </c>
      <c r="E68" s="60">
        <v>3.2562027747436968</v>
      </c>
    </row>
    <row r="69" spans="1:5" ht="15" x14ac:dyDescent="0.25">
      <c r="A69" s="67" t="s">
        <v>106</v>
      </c>
      <c r="B69" s="53">
        <v>-0.28788922832695346</v>
      </c>
      <c r="C69" s="53">
        <v>1.4468820232633794</v>
      </c>
      <c r="D69" s="53">
        <v>2.7135641742735506</v>
      </c>
      <c r="E69" s="59">
        <v>3.8725569692099762</v>
      </c>
    </row>
    <row r="70" spans="1:5" ht="15" x14ac:dyDescent="0.25">
      <c r="A70" s="68" t="s">
        <v>105</v>
      </c>
      <c r="B70" s="54">
        <v>-1.4621489475979601</v>
      </c>
      <c r="C70" s="54">
        <v>2.0293475806145507</v>
      </c>
      <c r="D70" s="54">
        <v>3.3214394234602875</v>
      </c>
      <c r="E70" s="60">
        <v>3.8886380564768785</v>
      </c>
    </row>
    <row r="71" spans="1:5" ht="15" x14ac:dyDescent="0.25">
      <c r="A71" s="67" t="s">
        <v>114</v>
      </c>
      <c r="B71" s="53">
        <v>-1.4860654282629193</v>
      </c>
      <c r="C71" s="53">
        <v>-0.17658966811925084</v>
      </c>
      <c r="D71" s="53">
        <v>5.5906845386782527</v>
      </c>
      <c r="E71" s="59">
        <v>3.9280294422960833</v>
      </c>
    </row>
    <row r="72" spans="1:5" ht="15" x14ac:dyDescent="0.25">
      <c r="A72" s="68" t="s">
        <v>112</v>
      </c>
      <c r="B72" s="54">
        <v>0.3636078472653318</v>
      </c>
      <c r="C72" s="54">
        <v>1.2426527720335516</v>
      </c>
      <c r="D72" s="54">
        <v>2.3930137892732994</v>
      </c>
      <c r="E72" s="60">
        <v>3.999274408572183</v>
      </c>
    </row>
    <row r="73" spans="1:5" ht="15" x14ac:dyDescent="0.25">
      <c r="A73" s="67" t="s">
        <v>93</v>
      </c>
      <c r="B73" s="53">
        <v>0.62701973821469414</v>
      </c>
      <c r="C73" s="53">
        <v>1.3711884927073354</v>
      </c>
      <c r="D73" s="53">
        <v>2.7326096863342944</v>
      </c>
      <c r="E73" s="59">
        <v>4.7308179172563234</v>
      </c>
    </row>
    <row r="74" spans="1:5" ht="15.75" thickBot="1" x14ac:dyDescent="0.3">
      <c r="A74" s="71" t="s">
        <v>116</v>
      </c>
      <c r="B74" s="63">
        <v>0.34446655314437397</v>
      </c>
      <c r="C74" s="63">
        <v>1.5641201558513338</v>
      </c>
      <c r="D74" s="63">
        <v>3.2059936424183277</v>
      </c>
      <c r="E74" s="76">
        <v>5.1145803514140358</v>
      </c>
    </row>
    <row r="75" spans="1:5" ht="15.75" thickBot="1" x14ac:dyDescent="0.3">
      <c r="A75" s="72" t="s">
        <v>119</v>
      </c>
      <c r="B75" s="64">
        <v>0.55042752747067947</v>
      </c>
      <c r="C75" s="64">
        <v>1.1734035430631822</v>
      </c>
      <c r="D75" s="64">
        <v>-0.43731666345636749</v>
      </c>
      <c r="E75" s="65">
        <v>1.2865144070774943</v>
      </c>
    </row>
    <row r="77" spans="1:5" ht="95.25" thickBot="1" x14ac:dyDescent="0.25">
      <c r="A77" s="36" t="s">
        <v>128</v>
      </c>
    </row>
    <row r="78" spans="1:5" ht="15.75" thickBot="1" x14ac:dyDescent="0.25">
      <c r="A78" s="66" t="s">
        <v>122</v>
      </c>
      <c r="B78" s="57" t="s">
        <v>89</v>
      </c>
      <c r="C78" s="73" t="s">
        <v>89</v>
      </c>
      <c r="D78" s="56" t="s">
        <v>89</v>
      </c>
      <c r="E78" s="58" t="s">
        <v>89</v>
      </c>
    </row>
    <row r="79" spans="1:5" ht="15" x14ac:dyDescent="0.25">
      <c r="A79" s="67" t="s">
        <v>123</v>
      </c>
      <c r="B79" s="53" t="s">
        <v>85</v>
      </c>
      <c r="C79" s="74" t="s">
        <v>86</v>
      </c>
      <c r="D79" s="53" t="s">
        <v>125</v>
      </c>
      <c r="E79" s="59" t="s">
        <v>120</v>
      </c>
    </row>
    <row r="80" spans="1:5" ht="15" x14ac:dyDescent="0.25">
      <c r="A80" s="68" t="s">
        <v>90</v>
      </c>
      <c r="B80" s="54">
        <v>0.32709629314628541</v>
      </c>
      <c r="C80" s="77">
        <v>0.31425050132491694</v>
      </c>
      <c r="D80" s="54">
        <v>0.85366289905739412</v>
      </c>
      <c r="E80" s="60">
        <v>1.4950096935285966</v>
      </c>
    </row>
    <row r="81" spans="1:5" ht="15.75" thickBot="1" x14ac:dyDescent="0.3">
      <c r="A81" s="69" t="s">
        <v>91</v>
      </c>
      <c r="B81" s="61">
        <v>0.30473521712231649</v>
      </c>
      <c r="C81" s="78">
        <v>0.29637816293625802</v>
      </c>
      <c r="D81" s="61">
        <v>0.73173976378549233</v>
      </c>
      <c r="E81" s="62">
        <v>1.3328531438440667</v>
      </c>
    </row>
    <row r="82" spans="1:5" ht="15" x14ac:dyDescent="0.25">
      <c r="A82" s="70" t="s">
        <v>99</v>
      </c>
      <c r="B82" s="55">
        <v>0.1455540048819268</v>
      </c>
      <c r="C82" s="79">
        <v>-0.67118482241791932</v>
      </c>
      <c r="D82" s="55">
        <v>-0.26994342965291646</v>
      </c>
      <c r="E82" s="75">
        <v>-0.79557424718890901</v>
      </c>
    </row>
    <row r="83" spans="1:5" ht="15" x14ac:dyDescent="0.25">
      <c r="A83" s="67" t="s">
        <v>103</v>
      </c>
      <c r="B83" s="53">
        <v>2.7548773031725093E-2</v>
      </c>
      <c r="C83" s="80">
        <v>-4.1045904629970202E-2</v>
      </c>
      <c r="D83" s="53">
        <v>0.58602847183815754</v>
      </c>
      <c r="E83" s="59">
        <v>0.57253134023991237</v>
      </c>
    </row>
    <row r="84" spans="1:5" ht="15" x14ac:dyDescent="0.25">
      <c r="A84" s="68" t="s">
        <v>117</v>
      </c>
      <c r="B84" s="54">
        <v>0.25000012018221862</v>
      </c>
      <c r="C84" s="77">
        <v>0.46085635969593336</v>
      </c>
      <c r="D84" s="54">
        <v>-3.7874392481584356E-2</v>
      </c>
      <c r="E84" s="60">
        <v>0.67298208739656751</v>
      </c>
    </row>
    <row r="85" spans="1:5" ht="15" x14ac:dyDescent="0.25">
      <c r="A85" s="67" t="s">
        <v>113</v>
      </c>
      <c r="B85" s="53">
        <v>0.15012980102898155</v>
      </c>
      <c r="C85" s="80">
        <v>-0.27988595556928136</v>
      </c>
      <c r="D85" s="53">
        <v>1.039844025063642</v>
      </c>
      <c r="E85" s="59">
        <v>0.9100878705233425</v>
      </c>
    </row>
    <row r="86" spans="1:5" ht="15" x14ac:dyDescent="0.25">
      <c r="A86" s="68" t="s">
        <v>100</v>
      </c>
      <c r="B86" s="54">
        <v>0.1459712726101339</v>
      </c>
      <c r="C86" s="77">
        <v>0.37226048987142168</v>
      </c>
      <c r="D86" s="54">
        <v>0.42686165704540618</v>
      </c>
      <c r="E86" s="60">
        <v>0.94509341952696191</v>
      </c>
    </row>
    <row r="87" spans="1:5" ht="15" x14ac:dyDescent="0.25">
      <c r="A87" s="67" t="s">
        <v>101</v>
      </c>
      <c r="B87" s="53">
        <v>0.52567298229900672</v>
      </c>
      <c r="C87" s="80">
        <v>0.40869683452161504</v>
      </c>
      <c r="D87" s="53">
        <v>0.20962227676368261</v>
      </c>
      <c r="E87" s="59">
        <v>1.1439920935843044</v>
      </c>
    </row>
    <row r="88" spans="1:5" ht="15" x14ac:dyDescent="0.25">
      <c r="A88" s="68" t="s">
        <v>96</v>
      </c>
      <c r="B88" s="54">
        <v>0.24861267064329337</v>
      </c>
      <c r="C88" s="77">
        <v>0.21470866112850831</v>
      </c>
      <c r="D88" s="54">
        <v>0.89936288207047477</v>
      </c>
      <c r="E88" s="60">
        <v>1.3626842138422763</v>
      </c>
    </row>
    <row r="89" spans="1:5" ht="15" x14ac:dyDescent="0.25">
      <c r="A89" s="67" t="s">
        <v>111</v>
      </c>
      <c r="B89" s="53">
        <v>0.29595667334001446</v>
      </c>
      <c r="C89" s="80">
        <v>0.45279685357292926</v>
      </c>
      <c r="D89" s="53">
        <v>0.75443307649877378</v>
      </c>
      <c r="E89" s="59">
        <v>1.5031866034117176</v>
      </c>
    </row>
    <row r="90" spans="1:5" ht="15" x14ac:dyDescent="0.25">
      <c r="A90" s="68" t="s">
        <v>92</v>
      </c>
      <c r="B90" s="54">
        <v>0.75378402530131783</v>
      </c>
      <c r="C90" s="77">
        <v>0.38791654155133176</v>
      </c>
      <c r="D90" s="54">
        <v>0.40187599761030673</v>
      </c>
      <c r="E90" s="60">
        <v>1.5435765644629562</v>
      </c>
    </row>
    <row r="91" spans="1:5" ht="15" x14ac:dyDescent="0.25">
      <c r="A91" s="67" t="s">
        <v>95</v>
      </c>
      <c r="B91" s="53">
        <v>0.5114680784030563</v>
      </c>
      <c r="C91" s="80">
        <v>0.70889077822321711</v>
      </c>
      <c r="D91" s="53">
        <v>0.51173168443285832</v>
      </c>
      <c r="E91" s="59">
        <v>1.7320905410591318</v>
      </c>
    </row>
    <row r="92" spans="1:5" ht="15" x14ac:dyDescent="0.25">
      <c r="A92" s="68" t="s">
        <v>102</v>
      </c>
      <c r="B92" s="54">
        <v>-7.178300011807119E-3</v>
      </c>
      <c r="C92" s="77">
        <v>0.64539696368634525</v>
      </c>
      <c r="D92" s="54">
        <v>1.1408761506003129</v>
      </c>
      <c r="E92" s="60">
        <v>1.7790948142748508</v>
      </c>
    </row>
    <row r="93" spans="1:5" ht="15" x14ac:dyDescent="0.25">
      <c r="A93" s="67" t="s">
        <v>110</v>
      </c>
      <c r="B93" s="53">
        <v>0.81311717829743657</v>
      </c>
      <c r="C93" s="80">
        <v>0.37599763029050365</v>
      </c>
      <c r="D93" s="53">
        <v>0.70118209959798483</v>
      </c>
      <c r="E93" s="59">
        <v>1.8902969081859251</v>
      </c>
    </row>
    <row r="94" spans="1:5" ht="15" x14ac:dyDescent="0.25">
      <c r="A94" s="68" t="s">
        <v>118</v>
      </c>
      <c r="B94" s="54">
        <v>0.65952263966228031</v>
      </c>
      <c r="C94" s="77">
        <v>0.85140228278987451</v>
      </c>
      <c r="D94" s="54">
        <v>0.4455697453992909</v>
      </c>
      <c r="E94" s="60">
        <v>1.9564946678514457</v>
      </c>
    </row>
    <row r="95" spans="1:5" ht="15" x14ac:dyDescent="0.25">
      <c r="A95" s="67" t="s">
        <v>94</v>
      </c>
      <c r="B95" s="53">
        <v>0.19199184860559479</v>
      </c>
      <c r="C95" s="80">
        <v>0.81606183873557836</v>
      </c>
      <c r="D95" s="53">
        <v>0.95507996216462632</v>
      </c>
      <c r="E95" s="59">
        <v>1.9631336495057994</v>
      </c>
    </row>
    <row r="96" spans="1:5" ht="15" x14ac:dyDescent="0.25">
      <c r="A96" s="68" t="s">
        <v>116</v>
      </c>
      <c r="B96" s="54">
        <v>-3.4396551042891001E-2</v>
      </c>
      <c r="C96" s="77">
        <v>0.53839067986938671</v>
      </c>
      <c r="D96" s="54">
        <v>1.5420241142033391</v>
      </c>
      <c r="E96" s="60">
        <v>2.0460182430298346</v>
      </c>
    </row>
    <row r="97" spans="1:5" ht="15" x14ac:dyDescent="0.25">
      <c r="A97" s="67" t="s">
        <v>107</v>
      </c>
      <c r="B97" s="53">
        <v>1.3947976893119973</v>
      </c>
      <c r="C97" s="80">
        <v>1.3296629495753254</v>
      </c>
      <c r="D97" s="53">
        <v>-0.57176915593662558</v>
      </c>
      <c r="E97" s="59">
        <v>2.1526914829506971</v>
      </c>
    </row>
    <row r="98" spans="1:5" ht="15" x14ac:dyDescent="0.25">
      <c r="A98" s="68" t="s">
        <v>115</v>
      </c>
      <c r="B98" s="54">
        <v>0.45851834675371278</v>
      </c>
      <c r="C98" s="77">
        <v>3.3859681657358386E-2</v>
      </c>
      <c r="D98" s="54">
        <v>1.6905008841401223</v>
      </c>
      <c r="E98" s="60">
        <v>2.1828789125511929</v>
      </c>
    </row>
    <row r="99" spans="1:5" ht="15" x14ac:dyDescent="0.25">
      <c r="A99" s="67" t="s">
        <v>93</v>
      </c>
      <c r="B99" s="53">
        <v>-0.30097200720868345</v>
      </c>
      <c r="C99" s="80">
        <v>-0.24733000852093043</v>
      </c>
      <c r="D99" s="53">
        <v>2.774007849200673</v>
      </c>
      <c r="E99" s="59">
        <v>2.2257058334710589</v>
      </c>
    </row>
    <row r="100" spans="1:5" ht="15" x14ac:dyDescent="0.25">
      <c r="A100" s="68" t="s">
        <v>104</v>
      </c>
      <c r="B100" s="54">
        <v>0.77347147046904408</v>
      </c>
      <c r="C100" s="77">
        <v>0.57772277345730105</v>
      </c>
      <c r="D100" s="54">
        <v>1.1590156665773426</v>
      </c>
      <c r="E100" s="60">
        <v>2.5102099105036877</v>
      </c>
    </row>
    <row r="101" spans="1:5" ht="15" x14ac:dyDescent="0.25">
      <c r="A101" s="67" t="s">
        <v>105</v>
      </c>
      <c r="B101" s="53">
        <v>0.14444594779865627</v>
      </c>
      <c r="C101" s="80">
        <v>0.52995091850831921</v>
      </c>
      <c r="D101" s="53">
        <v>1.8777485175604791</v>
      </c>
      <c r="E101" s="59">
        <v>2.5521453838674546</v>
      </c>
    </row>
    <row r="102" spans="1:5" ht="15" x14ac:dyDescent="0.25">
      <c r="A102" s="68" t="s">
        <v>108</v>
      </c>
      <c r="B102" s="54">
        <v>0.69982121172566492</v>
      </c>
      <c r="C102" s="77">
        <v>0.55910748993733117</v>
      </c>
      <c r="D102" s="54">
        <v>1.6935223396352768</v>
      </c>
      <c r="E102" s="60">
        <v>2.9524510412982727</v>
      </c>
    </row>
    <row r="103" spans="1:5" ht="15" x14ac:dyDescent="0.25">
      <c r="A103" s="67" t="s">
        <v>97</v>
      </c>
      <c r="B103" s="53">
        <v>0.40980563326999042</v>
      </c>
      <c r="C103" s="80">
        <v>1.3665044002499549</v>
      </c>
      <c r="D103" s="53">
        <v>1.3499971960354287</v>
      </c>
      <c r="E103" s="59">
        <v>3.1263072295553731</v>
      </c>
    </row>
    <row r="104" spans="1:5" ht="15" x14ac:dyDescent="0.25">
      <c r="A104" s="68" t="s">
        <v>114</v>
      </c>
      <c r="B104" s="54">
        <v>-0.14707530514061759</v>
      </c>
      <c r="C104" s="77">
        <v>1.6020707971383628</v>
      </c>
      <c r="D104" s="54">
        <v>1.7113599709713609</v>
      </c>
      <c r="E104" s="60">
        <v>3.166355462969106</v>
      </c>
    </row>
    <row r="105" spans="1:5" ht="15" x14ac:dyDescent="0.25">
      <c r="A105" s="67" t="s">
        <v>112</v>
      </c>
      <c r="B105" s="53">
        <v>0.58361619169241774</v>
      </c>
      <c r="C105" s="80">
        <v>1.45196285035267</v>
      </c>
      <c r="D105" s="53">
        <v>1.5526356713461997</v>
      </c>
      <c r="E105" s="59">
        <v>3.5882147133912876</v>
      </c>
    </row>
    <row r="106" spans="1:5" ht="15" x14ac:dyDescent="0.25">
      <c r="A106" s="68" t="s">
        <v>106</v>
      </c>
      <c r="B106" s="54">
        <v>0.48778375677046065</v>
      </c>
      <c r="C106" s="77">
        <v>1.1679055790527244</v>
      </c>
      <c r="D106" s="54">
        <v>2.189048445161538</v>
      </c>
      <c r="E106" s="60">
        <v>3.844737780984723</v>
      </c>
    </row>
    <row r="107" spans="1:5" ht="15" x14ac:dyDescent="0.25">
      <c r="A107" s="67" t="s">
        <v>109</v>
      </c>
      <c r="B107" s="53">
        <v>1.9875161282941223</v>
      </c>
      <c r="C107" s="80">
        <v>2.0356786437969361</v>
      </c>
      <c r="D107" s="53">
        <v>2.1753112451799157</v>
      </c>
      <c r="E107" s="59">
        <v>6.1985060172709732</v>
      </c>
    </row>
    <row r="108" spans="1:5" ht="15.75" thickBot="1" x14ac:dyDescent="0.3">
      <c r="A108" s="71" t="s">
        <v>98</v>
      </c>
      <c r="B108" s="63">
        <v>1.0000793514176023</v>
      </c>
      <c r="C108" s="81">
        <v>3.3717956063173324</v>
      </c>
      <c r="D108" s="63">
        <v>2.6160172050295327</v>
      </c>
      <c r="E108" s="76">
        <v>6.9878921627644672</v>
      </c>
    </row>
    <row r="109" spans="1:5" ht="15.75" thickBot="1" x14ac:dyDescent="0.3">
      <c r="A109" s="72" t="s">
        <v>119</v>
      </c>
      <c r="B109" s="64">
        <v>0.57255942182336705</v>
      </c>
      <c r="C109" s="82">
        <v>0.9707791758025921</v>
      </c>
      <c r="D109" s="64">
        <v>6.7743386378041157E-2</v>
      </c>
      <c r="E109" s="65">
        <v>1.6339080537078665</v>
      </c>
    </row>
  </sheetData>
  <sortState xmlns:xlrd2="http://schemas.microsoft.com/office/spreadsheetml/2017/richdata2" ref="A14:E40">
    <sortCondition ref="E14:E40"/>
  </sortState>
  <pageMargins left="0.7" right="0.7" top="0.75" bottom="0.75" header="0.3" footer="0.3"/>
  <pageSetup paperSize="9" orientation="portrait" verticalDpi="12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3E9C-5834-4630-891B-8811CD8A1DCC}">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7" width="14.42578125" customWidth="1"/>
    <col min="18"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55</v>
      </c>
      <c r="B1" s="16"/>
    </row>
    <row r="2" spans="1:18" ht="100.5" customHeight="1" x14ac:dyDescent="0.2">
      <c r="A2" s="17" t="s">
        <v>56</v>
      </c>
    </row>
    <row r="3" spans="1:18" ht="409.5" customHeight="1" x14ac:dyDescent="0.2">
      <c r="A3" s="17" t="s">
        <v>133</v>
      </c>
      <c r="B3" s="16"/>
    </row>
    <row r="4" spans="1:18" ht="36.75" customHeight="1" x14ac:dyDescent="0.2">
      <c r="A4" s="17"/>
      <c r="B4" s="16"/>
    </row>
    <row r="5" spans="1:18" ht="409.5" customHeight="1" x14ac:dyDescent="0.2">
      <c r="A5" s="17" t="s">
        <v>135</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0.68227768042418202</v>
      </c>
      <c r="L9" s="48">
        <f t="shared" ref="L9:L30" si="1">1-K9</f>
        <v>0.31772231957581798</v>
      </c>
      <c r="M9" s="23">
        <v>7409922.7926932704</v>
      </c>
      <c r="N9" s="24">
        <v>9250741.6345031802</v>
      </c>
      <c r="O9" s="24">
        <v>3911575.4889178802</v>
      </c>
      <c r="P9" s="24">
        <v>320298412.40563399</v>
      </c>
      <c r="Q9" s="24">
        <v>247817319.35879701</v>
      </c>
      <c r="R9" s="24">
        <v>32005311.191481698</v>
      </c>
    </row>
    <row r="10" spans="1:18" ht="15" x14ac:dyDescent="0.25">
      <c r="A10" s="20">
        <v>2002</v>
      </c>
      <c r="B10" s="21">
        <f t="shared" ref="B10:B27" si="2">B11*EXP(-C11/100)</f>
        <v>0.8953796626629128</v>
      </c>
      <c r="C10" s="25">
        <f t="shared" ref="C10:C30" si="3">D10-E10-F10</f>
        <v>1.1293455588610368</v>
      </c>
      <c r="D10" s="25">
        <f t="shared" ref="D10:D30" si="4">(LN(N10)-LN(N9))*100</f>
        <v>1.0989785605410418</v>
      </c>
      <c r="E10" s="25">
        <f t="shared" ref="E10:F30" si="5">I10*G10</f>
        <v>-0.6209255913634667</v>
      </c>
      <c r="F10" s="47">
        <f t="shared" si="5"/>
        <v>0.5905585930434718</v>
      </c>
      <c r="G10" s="25">
        <f t="shared" ref="G10:G30" si="6">(LN(P10)-LN(P9))*100</f>
        <v>-0.91425054278957418</v>
      </c>
      <c r="H10" s="25">
        <f t="shared" ref="H10:H30" si="7">(LN(R10)-LN(R9))*100</f>
        <v>1.8406838955023375</v>
      </c>
      <c r="I10" s="26">
        <f t="shared" ref="I10:J30" si="8">(K10+K9)/2</f>
        <v>0.67916349217457372</v>
      </c>
      <c r="J10" s="26">
        <f t="shared" si="8"/>
        <v>0.32083650782542628</v>
      </c>
      <c r="K10" s="22">
        <f t="shared" si="0"/>
        <v>0.67604930392496543</v>
      </c>
      <c r="L10" s="48">
        <f t="shared" si="1"/>
        <v>0.32395069607503457</v>
      </c>
      <c r="M10" s="23">
        <v>7677659.7249487098</v>
      </c>
      <c r="N10" s="24">
        <v>9352965.9847571701</v>
      </c>
      <c r="O10" s="24">
        <v>4052139.1371882702</v>
      </c>
      <c r="P10" s="24">
        <v>317383427.86680502</v>
      </c>
      <c r="Q10" s="24">
        <v>247777213.97572601</v>
      </c>
      <c r="R10" s="24">
        <v>32599883.107811201</v>
      </c>
    </row>
    <row r="11" spans="1:18" ht="15" x14ac:dyDescent="0.25">
      <c r="A11" s="20">
        <v>2003</v>
      </c>
      <c r="B11" s="21">
        <f t="shared" si="2"/>
        <v>0.89934217438185304</v>
      </c>
      <c r="C11" s="25">
        <f t="shared" si="3"/>
        <v>0.44157463021159349</v>
      </c>
      <c r="D11" s="25">
        <f t="shared" si="4"/>
        <v>0.8283607013417793</v>
      </c>
      <c r="E11" s="25">
        <f t="shared" si="5"/>
        <v>-7.2004478888373261E-2</v>
      </c>
      <c r="F11" s="47">
        <f t="shared" si="5"/>
        <v>0.45879055001855906</v>
      </c>
      <c r="G11" s="25">
        <f t="shared" si="6"/>
        <v>-0.10652128270010053</v>
      </c>
      <c r="H11" s="25">
        <f t="shared" si="7"/>
        <v>1.4158598850933402</v>
      </c>
      <c r="I11" s="26">
        <f t="shared" si="8"/>
        <v>0.67596331045969749</v>
      </c>
      <c r="J11" s="26">
        <f t="shared" si="8"/>
        <v>0.32403668954030251</v>
      </c>
      <c r="K11" s="22">
        <f t="shared" si="0"/>
        <v>0.67587731699442954</v>
      </c>
      <c r="L11" s="48">
        <f t="shared" si="1"/>
        <v>0.32412268300557046</v>
      </c>
      <c r="M11" s="23">
        <v>7884009.7690786198</v>
      </c>
      <c r="N11" s="24">
        <v>9430764.0588581208</v>
      </c>
      <c r="O11" s="24">
        <v>4156487.4777629199</v>
      </c>
      <c r="P11" s="24">
        <v>317045526.96850097</v>
      </c>
      <c r="Q11" s="24">
        <v>247305105.137187</v>
      </c>
      <c r="R11" s="24">
        <v>33064734.834330902</v>
      </c>
    </row>
    <row r="12" spans="1:18" ht="15" x14ac:dyDescent="0.25">
      <c r="A12" s="20">
        <v>2004</v>
      </c>
      <c r="B12" s="21">
        <f t="shared" si="2"/>
        <v>0.91282958119854285</v>
      </c>
      <c r="C12" s="25">
        <f t="shared" si="3"/>
        <v>1.4885626399714709</v>
      </c>
      <c r="D12" s="25">
        <f t="shared" si="4"/>
        <v>2.6348019914596676</v>
      </c>
      <c r="E12" s="25">
        <f t="shared" si="5"/>
        <v>0.60051384496974847</v>
      </c>
      <c r="F12" s="47">
        <f t="shared" si="5"/>
        <v>0.54572550651844798</v>
      </c>
      <c r="G12" s="25">
        <f t="shared" si="6"/>
        <v>0.89619950251140779</v>
      </c>
      <c r="H12" s="25">
        <f t="shared" si="7"/>
        <v>1.6540502218330033</v>
      </c>
      <c r="I12" s="26">
        <f t="shared" si="8"/>
        <v>0.67006714831567815</v>
      </c>
      <c r="J12" s="26">
        <f t="shared" si="8"/>
        <v>0.3299328516843219</v>
      </c>
      <c r="K12" s="22">
        <f t="shared" si="0"/>
        <v>0.66425697963692665</v>
      </c>
      <c r="L12" s="48">
        <f t="shared" si="1"/>
        <v>0.33574302036307335</v>
      </c>
      <c r="M12" s="23">
        <v>8238303.0552916704</v>
      </c>
      <c r="N12" s="24">
        <v>9682548.4623898696</v>
      </c>
      <c r="O12" s="24">
        <v>4285257.76890916</v>
      </c>
      <c r="P12" s="24">
        <v>319899657.65343302</v>
      </c>
      <c r="Q12" s="24">
        <v>250505252.19810599</v>
      </c>
      <c r="R12" s="24">
        <v>33616190.2564383</v>
      </c>
    </row>
    <row r="13" spans="1:18" ht="15" x14ac:dyDescent="0.25">
      <c r="A13" s="20">
        <v>2005</v>
      </c>
      <c r="B13" s="21">
        <f t="shared" si="2"/>
        <v>0.91812528856749043</v>
      </c>
      <c r="C13" s="25">
        <f t="shared" si="3"/>
        <v>0.57846561087601456</v>
      </c>
      <c r="D13" s="25">
        <f t="shared" si="4"/>
        <v>1.8226933895082453</v>
      </c>
      <c r="E13" s="25">
        <f t="shared" si="5"/>
        <v>0.47282059552738126</v>
      </c>
      <c r="F13" s="47">
        <f t="shared" si="5"/>
        <v>0.77140718310484957</v>
      </c>
      <c r="G13" s="25">
        <f t="shared" si="6"/>
        <v>0.71348311050165591</v>
      </c>
      <c r="H13" s="25">
        <f t="shared" si="7"/>
        <v>2.2869618749052023</v>
      </c>
      <c r="I13" s="26">
        <f t="shared" si="8"/>
        <v>0.66269346613536118</v>
      </c>
      <c r="J13" s="26">
        <f t="shared" si="8"/>
        <v>0.33730653386463882</v>
      </c>
      <c r="K13" s="22">
        <f t="shared" si="0"/>
        <v>0.6611299526337957</v>
      </c>
      <c r="L13" s="48">
        <f t="shared" si="1"/>
        <v>0.3388700473662043</v>
      </c>
      <c r="M13" s="23">
        <v>8579077.9252266306</v>
      </c>
      <c r="N13" s="24">
        <v>9860649.8232901692</v>
      </c>
      <c r="O13" s="24">
        <v>4448666.4583278</v>
      </c>
      <c r="P13" s="24">
        <v>322190249.45713902</v>
      </c>
      <c r="Q13" s="24">
        <v>252705557.20701301</v>
      </c>
      <c r="R13" s="24">
        <v>34393838.072485998</v>
      </c>
    </row>
    <row r="14" spans="1:18" ht="15" x14ac:dyDescent="0.25">
      <c r="A14" s="20">
        <v>2006</v>
      </c>
      <c r="B14" s="21">
        <f t="shared" si="2"/>
        <v>0.93257247722932057</v>
      </c>
      <c r="C14" s="25">
        <f t="shared" si="3"/>
        <v>1.5613010839000494</v>
      </c>
      <c r="D14" s="25">
        <f t="shared" si="4"/>
        <v>3.5040575909889071</v>
      </c>
      <c r="E14" s="25">
        <f t="shared" si="5"/>
        <v>1.1625494528113836</v>
      </c>
      <c r="F14" s="47">
        <f t="shared" si="5"/>
        <v>0.78020705427747428</v>
      </c>
      <c r="G14" s="25">
        <f t="shared" si="6"/>
        <v>1.7700656138959658</v>
      </c>
      <c r="H14" s="25">
        <f t="shared" si="7"/>
        <v>2.2732196556386697</v>
      </c>
      <c r="I14" s="26">
        <f t="shared" si="8"/>
        <v>0.65678325350469824</v>
      </c>
      <c r="J14" s="26">
        <f t="shared" si="8"/>
        <v>0.34321674649530171</v>
      </c>
      <c r="K14" s="22">
        <f t="shared" si="0"/>
        <v>0.65243655437560089</v>
      </c>
      <c r="L14" s="48">
        <f t="shared" si="1"/>
        <v>0.34756344562439911</v>
      </c>
      <c r="M14" s="23">
        <v>9057498.2308733407</v>
      </c>
      <c r="N14" s="24">
        <v>10212297.6634339</v>
      </c>
      <c r="O14" s="24">
        <v>4657576.7186864298</v>
      </c>
      <c r="P14" s="24">
        <v>327944000.63323301</v>
      </c>
      <c r="Q14" s="24">
        <v>258471798.21555299</v>
      </c>
      <c r="R14" s="24">
        <v>35184639.836658902</v>
      </c>
    </row>
    <row r="15" spans="1:18" ht="15" x14ac:dyDescent="0.25">
      <c r="A15" s="20">
        <v>2007</v>
      </c>
      <c r="B15" s="21">
        <f t="shared" si="2"/>
        <v>0.94121280681584552</v>
      </c>
      <c r="C15" s="25">
        <f t="shared" si="3"/>
        <v>0.92223915943303569</v>
      </c>
      <c r="D15" s="25">
        <f t="shared" si="4"/>
        <v>3.2784637024388275</v>
      </c>
      <c r="E15" s="25">
        <f t="shared" si="5"/>
        <v>1.4030694323406219</v>
      </c>
      <c r="F15" s="47">
        <f t="shared" si="5"/>
        <v>0.95315511066516989</v>
      </c>
      <c r="G15" s="25">
        <f t="shared" si="6"/>
        <v>2.1635123593799932</v>
      </c>
      <c r="H15" s="25">
        <f t="shared" si="7"/>
        <v>2.7117917584675411</v>
      </c>
      <c r="I15" s="26">
        <f t="shared" si="8"/>
        <v>0.64851463697794887</v>
      </c>
      <c r="J15" s="26">
        <f t="shared" si="8"/>
        <v>0.35148536302205108</v>
      </c>
      <c r="K15" s="22">
        <f t="shared" si="0"/>
        <v>0.64459271958029696</v>
      </c>
      <c r="L15" s="48">
        <f t="shared" si="1"/>
        <v>0.35540728041970304</v>
      </c>
      <c r="M15" s="23">
        <v>9618996.5353342798</v>
      </c>
      <c r="N15" s="24">
        <v>10552652.861474</v>
      </c>
      <c r="O15" s="24">
        <v>4906603.0250040703</v>
      </c>
      <c r="P15" s="24">
        <v>335116417.91692299</v>
      </c>
      <c r="Q15" s="24">
        <v>265192637.77233401</v>
      </c>
      <c r="R15" s="24">
        <v>36151828.805019498</v>
      </c>
    </row>
    <row r="16" spans="1:18" ht="15" x14ac:dyDescent="0.25">
      <c r="A16" s="20">
        <v>2008</v>
      </c>
      <c r="B16" s="21">
        <f t="shared" si="2"/>
        <v>0.93644949633042296</v>
      </c>
      <c r="C16" s="25">
        <f t="shared" si="3"/>
        <v>-0.50736713365202124</v>
      </c>
      <c r="D16" s="25">
        <f t="shared" si="4"/>
        <v>0.85204679690420448</v>
      </c>
      <c r="E16" s="25">
        <f t="shared" si="5"/>
        <v>0.57721681113698986</v>
      </c>
      <c r="F16" s="47">
        <f t="shared" si="5"/>
        <v>0.78219711941923586</v>
      </c>
      <c r="G16" s="25">
        <f t="shared" si="6"/>
        <v>0.89070233119450393</v>
      </c>
      <c r="H16" s="25">
        <f t="shared" si="7"/>
        <v>2.2224465027683493</v>
      </c>
      <c r="I16" s="26">
        <f t="shared" si="8"/>
        <v>0.64804681757472826</v>
      </c>
      <c r="J16" s="26">
        <f t="shared" si="8"/>
        <v>0.35195318242527168</v>
      </c>
      <c r="K16" s="22">
        <f t="shared" si="0"/>
        <v>0.65150091556915968</v>
      </c>
      <c r="L16" s="48">
        <f t="shared" si="1"/>
        <v>0.34849908443084032</v>
      </c>
      <c r="M16" s="23">
        <v>9970089.1896481197</v>
      </c>
      <c r="N16" s="24">
        <v>10642950.5451412</v>
      </c>
      <c r="O16" s="24">
        <v>5163325.42469199</v>
      </c>
      <c r="P16" s="24">
        <v>338114640.460581</v>
      </c>
      <c r="Q16" s="24">
        <v>268769139.15350997</v>
      </c>
      <c r="R16" s="24">
        <v>36964278.549833998</v>
      </c>
    </row>
    <row r="17" spans="1:20" ht="15" x14ac:dyDescent="0.25">
      <c r="A17" s="20">
        <v>2009</v>
      </c>
      <c r="B17" s="21">
        <f t="shared" si="2"/>
        <v>0.91483474485678207</v>
      </c>
      <c r="C17" s="25">
        <f t="shared" si="3"/>
        <v>-2.3352150075512115</v>
      </c>
      <c r="D17" s="25">
        <f t="shared" si="4"/>
        <v>-4.3794365229860688</v>
      </c>
      <c r="E17" s="25">
        <f t="shared" si="5"/>
        <v>-2.1388009709110802</v>
      </c>
      <c r="F17" s="47">
        <f t="shared" si="5"/>
        <v>9.4579455476222887E-2</v>
      </c>
      <c r="G17" s="25">
        <f t="shared" si="6"/>
        <v>-3.2354977319737799</v>
      </c>
      <c r="H17" s="25">
        <f t="shared" si="7"/>
        <v>0.27903028854403544</v>
      </c>
      <c r="I17" s="26">
        <f t="shared" si="8"/>
        <v>0.6610423335411606</v>
      </c>
      <c r="J17" s="26">
        <f t="shared" si="8"/>
        <v>0.3389576664588394</v>
      </c>
      <c r="K17" s="22">
        <f t="shared" si="0"/>
        <v>0.67058375151316152</v>
      </c>
      <c r="L17" s="48">
        <f t="shared" si="1"/>
        <v>0.32941624848683848</v>
      </c>
      <c r="M17" s="23">
        <v>9566310.6028641295</v>
      </c>
      <c r="N17" s="24">
        <v>10186908.2105258</v>
      </c>
      <c r="O17" s="24">
        <v>5089562.3703384902</v>
      </c>
      <c r="P17" s="24">
        <v>327350032.31937701</v>
      </c>
      <c r="Q17" s="24">
        <v>259713978.55169299</v>
      </c>
      <c r="R17" s="24">
        <v>37067564.1149216</v>
      </c>
    </row>
    <row r="18" spans="1:20" ht="15" x14ac:dyDescent="0.25">
      <c r="A18" s="20">
        <v>2010</v>
      </c>
      <c r="B18" s="21">
        <f t="shared" si="2"/>
        <v>0.93462422487859775</v>
      </c>
      <c r="C18" s="25">
        <f t="shared" si="3"/>
        <v>2.1401107730000217</v>
      </c>
      <c r="D18" s="25">
        <f t="shared" si="4"/>
        <v>2.1849949687492654</v>
      </c>
      <c r="E18" s="25">
        <f t="shared" si="5"/>
        <v>-0.47411413832077748</v>
      </c>
      <c r="F18" s="47">
        <f t="shared" si="5"/>
        <v>0.51899833407002116</v>
      </c>
      <c r="G18" s="25">
        <f t="shared" si="6"/>
        <v>-0.71038165279873056</v>
      </c>
      <c r="H18" s="25">
        <f t="shared" si="7"/>
        <v>1.5604637614742956</v>
      </c>
      <c r="I18" s="26">
        <f t="shared" si="8"/>
        <v>0.66740763426657113</v>
      </c>
      <c r="J18" s="26">
        <f t="shared" si="8"/>
        <v>0.33259236573342893</v>
      </c>
      <c r="K18" s="22">
        <f t="shared" si="0"/>
        <v>0.66423151701998062</v>
      </c>
      <c r="L18" s="48">
        <f t="shared" si="1"/>
        <v>0.33576848298001938</v>
      </c>
      <c r="M18" s="23">
        <v>9888175.1484777797</v>
      </c>
      <c r="N18" s="24">
        <v>10411941.168935901</v>
      </c>
      <c r="O18" s="24">
        <v>5208832.91560046</v>
      </c>
      <c r="P18" s="24">
        <v>325032837.95576501</v>
      </c>
      <c r="Q18" s="24">
        <v>257769801.789298</v>
      </c>
      <c r="R18" s="24">
        <v>37650526.650287397</v>
      </c>
    </row>
    <row r="19" spans="1:20" ht="15" x14ac:dyDescent="0.25">
      <c r="A19" s="20">
        <v>2011</v>
      </c>
      <c r="B19" s="21">
        <f t="shared" si="2"/>
        <v>0.94976470645482425</v>
      </c>
      <c r="C19" s="25">
        <f t="shared" si="3"/>
        <v>1.6069726521229768</v>
      </c>
      <c r="D19" s="25">
        <f t="shared" si="4"/>
        <v>2.0331948714641612</v>
      </c>
      <c r="E19" s="25">
        <f t="shared" si="5"/>
        <v>1.4995942294167775E-2</v>
      </c>
      <c r="F19" s="47">
        <f t="shared" si="5"/>
        <v>0.41122627704701648</v>
      </c>
      <c r="G19" s="25">
        <f t="shared" si="6"/>
        <v>2.26506058279341E-2</v>
      </c>
      <c r="H19" s="25">
        <f t="shared" si="7"/>
        <v>1.2168430743418668</v>
      </c>
      <c r="I19" s="26">
        <f t="shared" si="8"/>
        <v>0.66205479924399502</v>
      </c>
      <c r="J19" s="26">
        <f t="shared" si="8"/>
        <v>0.33794520075600498</v>
      </c>
      <c r="K19" s="22">
        <f t="shared" si="0"/>
        <v>0.65987808146800941</v>
      </c>
      <c r="L19" s="48">
        <f t="shared" si="1"/>
        <v>0.34012191853199059</v>
      </c>
      <c r="M19" s="23">
        <v>10193151.2766004</v>
      </c>
      <c r="N19" s="24">
        <v>10625802.9691022</v>
      </c>
      <c r="O19" s="24">
        <v>5347408.6948305201</v>
      </c>
      <c r="P19" s="24">
        <v>325106468.201235</v>
      </c>
      <c r="Q19" s="24">
        <v>258462068.27942401</v>
      </c>
      <c r="R19" s="24">
        <v>38111473.287188001</v>
      </c>
    </row>
    <row r="20" spans="1:20" ht="15" x14ac:dyDescent="0.25">
      <c r="A20" s="20">
        <v>2012</v>
      </c>
      <c r="B20" s="21">
        <f t="shared" si="2"/>
        <v>0.94952382350721298</v>
      </c>
      <c r="C20" s="25">
        <f t="shared" si="3"/>
        <v>-2.5365598233519665E-2</v>
      </c>
      <c r="D20" s="25">
        <f t="shared" si="4"/>
        <v>-0.67205781049217705</v>
      </c>
      <c r="E20" s="25">
        <f t="shared" si="5"/>
        <v>-0.86980497584113647</v>
      </c>
      <c r="F20" s="47">
        <f t="shared" si="5"/>
        <v>0.22311276358247908</v>
      </c>
      <c r="G20" s="25">
        <f t="shared" si="6"/>
        <v>-1.3123879733100807</v>
      </c>
      <c r="H20" s="25">
        <f t="shared" si="7"/>
        <v>0.66159456936247807</v>
      </c>
      <c r="I20" s="26">
        <f t="shared" si="8"/>
        <v>0.66276512245638031</v>
      </c>
      <c r="J20" s="26">
        <f t="shared" si="8"/>
        <v>0.33723487754361969</v>
      </c>
      <c r="K20" s="22">
        <f t="shared" si="0"/>
        <v>0.6656521634447512</v>
      </c>
      <c r="L20" s="48">
        <f t="shared" si="1"/>
        <v>0.3343478365552488</v>
      </c>
      <c r="M20" s="23">
        <v>10241658.371252799</v>
      </c>
      <c r="N20" s="24">
        <v>10554630.8570705</v>
      </c>
      <c r="O20" s="24">
        <v>5418527.6653564395</v>
      </c>
      <c r="P20" s="24">
        <v>320867685.48852801</v>
      </c>
      <c r="Q20" s="24">
        <v>255029044.50050101</v>
      </c>
      <c r="R20" s="24">
        <v>38364452.650868803</v>
      </c>
    </row>
    <row r="21" spans="1:20" ht="15" x14ac:dyDescent="0.25">
      <c r="A21" s="20">
        <v>2013</v>
      </c>
      <c r="B21" s="21">
        <f t="shared" si="2"/>
        <v>0.95394659430011741</v>
      </c>
      <c r="C21" s="25">
        <f t="shared" si="3"/>
        <v>0.46470685446549942</v>
      </c>
      <c r="D21" s="25">
        <f t="shared" si="4"/>
        <v>6.6856624161459877E-2</v>
      </c>
      <c r="E21" s="25">
        <f t="shared" si="5"/>
        <v>-0.61568577230269372</v>
      </c>
      <c r="F21" s="47">
        <f t="shared" si="5"/>
        <v>0.21783554199865418</v>
      </c>
      <c r="G21" s="25">
        <f t="shared" si="6"/>
        <v>-0.92467000254004006</v>
      </c>
      <c r="H21" s="25">
        <f t="shared" si="7"/>
        <v>0.65189731857344668</v>
      </c>
      <c r="I21" s="26">
        <f t="shared" si="8"/>
        <v>0.66584378276728329</v>
      </c>
      <c r="J21" s="26">
        <f t="shared" si="8"/>
        <v>0.33415621723271671</v>
      </c>
      <c r="K21" s="22">
        <f t="shared" si="0"/>
        <v>0.66603540208981538</v>
      </c>
      <c r="L21" s="48">
        <f t="shared" si="1"/>
        <v>0.33396459791018462</v>
      </c>
      <c r="M21" s="23">
        <v>10344243.372708401</v>
      </c>
      <c r="N21" s="24">
        <v>10561689.686338799</v>
      </c>
      <c r="O21" s="24">
        <v>5482518.8162671505</v>
      </c>
      <c r="P21" s="24">
        <v>317914393.39852899</v>
      </c>
      <c r="Q21" s="24">
        <v>252984712.30070499</v>
      </c>
      <c r="R21" s="24">
        <v>38615366.4505613</v>
      </c>
    </row>
    <row r="22" spans="1:20" ht="15" x14ac:dyDescent="0.25">
      <c r="A22" s="20">
        <v>2014</v>
      </c>
      <c r="B22" s="21">
        <f t="shared" si="2"/>
        <v>0.96217981561891552</v>
      </c>
      <c r="C22" s="25">
        <f t="shared" si="3"/>
        <v>0.85936626575820696</v>
      </c>
      <c r="D22" s="25">
        <f t="shared" si="4"/>
        <v>1.6072030473921473</v>
      </c>
      <c r="E22" s="25">
        <f t="shared" si="5"/>
        <v>0.58781243572774788</v>
      </c>
      <c r="F22" s="47">
        <f t="shared" si="5"/>
        <v>0.16002434590619241</v>
      </c>
      <c r="G22" s="25">
        <f t="shared" si="6"/>
        <v>0.88444068695068268</v>
      </c>
      <c r="H22" s="25">
        <f t="shared" si="7"/>
        <v>0.47713608477479852</v>
      </c>
      <c r="I22" s="26">
        <f t="shared" si="8"/>
        <v>0.66461487401079378</v>
      </c>
      <c r="J22" s="26">
        <f t="shared" si="8"/>
        <v>0.33538512598920628</v>
      </c>
      <c r="K22" s="22">
        <f t="shared" si="0"/>
        <v>0.66319434593177207</v>
      </c>
      <c r="L22" s="48">
        <f t="shared" si="1"/>
        <v>0.33680565406822793</v>
      </c>
      <c r="M22" s="23">
        <v>10578982.417789601</v>
      </c>
      <c r="N22" s="24">
        <v>10732808.9181171</v>
      </c>
      <c r="O22" s="24">
        <v>5599196.1610198496</v>
      </c>
      <c r="P22" s="24">
        <v>320738628.57580602</v>
      </c>
      <c r="Q22" s="24">
        <v>255971869.491263</v>
      </c>
      <c r="R22" s="24">
        <v>38800054.554577097</v>
      </c>
    </row>
    <row r="23" spans="1:20" ht="15" x14ac:dyDescent="0.25">
      <c r="A23" s="20">
        <v>2015</v>
      </c>
      <c r="B23" s="21">
        <f t="shared" si="2"/>
        <v>0.97329465825558548</v>
      </c>
      <c r="C23" s="25">
        <f t="shared" si="3"/>
        <v>1.1485519414458598</v>
      </c>
      <c r="D23" s="25">
        <f t="shared" si="4"/>
        <v>2.1893178747539821</v>
      </c>
      <c r="E23" s="25">
        <f t="shared" si="5"/>
        <v>0.58242920740915782</v>
      </c>
      <c r="F23" s="47">
        <f t="shared" si="5"/>
        <v>0.45833672589896451</v>
      </c>
      <c r="G23" s="25">
        <f t="shared" si="6"/>
        <v>0.8842720433996476</v>
      </c>
      <c r="H23" s="25">
        <f t="shared" si="7"/>
        <v>1.3427330545905392</v>
      </c>
      <c r="I23" s="26">
        <f t="shared" si="8"/>
        <v>0.658653874400424</v>
      </c>
      <c r="J23" s="26">
        <f t="shared" si="8"/>
        <v>0.341346125599576</v>
      </c>
      <c r="K23" s="22">
        <f t="shared" si="0"/>
        <v>0.65411340286907593</v>
      </c>
      <c r="L23" s="48">
        <f t="shared" si="1"/>
        <v>0.34588659713092407</v>
      </c>
      <c r="M23" s="23">
        <v>10970375.274634801</v>
      </c>
      <c r="N23" s="24">
        <v>10970375.274634801</v>
      </c>
      <c r="O23" s="24">
        <v>5757584.69756833</v>
      </c>
      <c r="P23" s="24">
        <v>323587407.51553202</v>
      </c>
      <c r="Q23" s="24">
        <v>259631519.97272</v>
      </c>
      <c r="R23" s="24">
        <v>39324549.112972997</v>
      </c>
    </row>
    <row r="24" spans="1:20" ht="15" x14ac:dyDescent="0.25">
      <c r="A24" s="20">
        <v>2016</v>
      </c>
      <c r="B24" s="21">
        <f t="shared" si="2"/>
        <v>0.97844556798600402</v>
      </c>
      <c r="C24" s="25">
        <f t="shared" si="3"/>
        <v>0.52782861366321865</v>
      </c>
      <c r="D24" s="25">
        <f t="shared" si="4"/>
        <v>1.841279626752268</v>
      </c>
      <c r="E24" s="25">
        <f t="shared" si="5"/>
        <v>1.0223327258890405</v>
      </c>
      <c r="F24" s="47">
        <f t="shared" si="5"/>
        <v>0.29111828720000893</v>
      </c>
      <c r="G24" s="25">
        <f t="shared" si="6"/>
        <v>1.5625560141124595</v>
      </c>
      <c r="H24" s="25">
        <f t="shared" si="7"/>
        <v>0.84203817273120762</v>
      </c>
      <c r="I24" s="26">
        <f t="shared" si="8"/>
        <v>0.65426948964113207</v>
      </c>
      <c r="J24" s="26">
        <f t="shared" si="8"/>
        <v>0.34573051035886787</v>
      </c>
      <c r="K24" s="22">
        <f t="shared" si="0"/>
        <v>0.65442557641318833</v>
      </c>
      <c r="L24" s="48">
        <f t="shared" si="1"/>
        <v>0.34557442358681167</v>
      </c>
      <c r="M24" s="23">
        <v>11255532.5738071</v>
      </c>
      <c r="N24" s="24">
        <v>11174241.6750724</v>
      </c>
      <c r="O24" s="24">
        <v>5943903.0949629098</v>
      </c>
      <c r="P24" s="24">
        <v>328683351.82041901</v>
      </c>
      <c r="Q24" s="24">
        <v>265230286.34870899</v>
      </c>
      <c r="R24" s="24">
        <v>39657074.859871097</v>
      </c>
    </row>
    <row r="25" spans="1:20" ht="15" x14ac:dyDescent="0.25">
      <c r="A25" s="20">
        <v>2017</v>
      </c>
      <c r="B25" s="21">
        <f t="shared" si="2"/>
        <v>0.99614378353242961</v>
      </c>
      <c r="C25" s="25">
        <f t="shared" si="3"/>
        <v>1.7926450869402246</v>
      </c>
      <c r="D25" s="25">
        <f t="shared" si="4"/>
        <v>2.8337709506722319</v>
      </c>
      <c r="E25" s="25">
        <f t="shared" si="5"/>
        <v>0.67520130549422464</v>
      </c>
      <c r="F25" s="47">
        <f t="shared" si="5"/>
        <v>0.36592455823778269</v>
      </c>
      <c r="G25" s="25">
        <f t="shared" si="6"/>
        <v>1.0336622899124848</v>
      </c>
      <c r="H25" s="25">
        <f t="shared" si="7"/>
        <v>1.05518433872831</v>
      </c>
      <c r="I25" s="26">
        <f t="shared" si="8"/>
        <v>0.65321267118237492</v>
      </c>
      <c r="J25" s="26">
        <f t="shared" si="8"/>
        <v>0.34678732881762508</v>
      </c>
      <c r="K25" s="22">
        <f t="shared" si="0"/>
        <v>0.65199976595156151</v>
      </c>
      <c r="L25" s="48">
        <f t="shared" si="1"/>
        <v>0.34800023404843849</v>
      </c>
      <c r="M25" s="23">
        <v>11722613.5919604</v>
      </c>
      <c r="N25" s="24">
        <v>11495423.373644</v>
      </c>
      <c r="O25" s="24">
        <v>6195693.8042226601</v>
      </c>
      <c r="P25" s="24">
        <v>332098447.55245602</v>
      </c>
      <c r="Q25" s="24">
        <v>269206103.643089</v>
      </c>
      <c r="R25" s="24">
        <v>40077745.625844903</v>
      </c>
    </row>
    <row r="26" spans="1:20" ht="15" x14ac:dyDescent="0.25">
      <c r="A26" s="20">
        <v>2018</v>
      </c>
      <c r="B26" s="21">
        <f t="shared" si="2"/>
        <v>1.0051849165682674</v>
      </c>
      <c r="C26" s="25">
        <f t="shared" si="3"/>
        <v>0.90351920113309814</v>
      </c>
      <c r="D26" s="25">
        <f t="shared" si="4"/>
        <v>2.0731288973799167</v>
      </c>
      <c r="E26" s="25">
        <f t="shared" si="5"/>
        <v>0.85364369185930122</v>
      </c>
      <c r="F26" s="47">
        <f t="shared" si="5"/>
        <v>0.31596600438751715</v>
      </c>
      <c r="G26" s="25">
        <f t="shared" si="6"/>
        <v>1.3067229871531083</v>
      </c>
      <c r="H26" s="25">
        <f t="shared" si="7"/>
        <v>0.91127545526958897</v>
      </c>
      <c r="I26" s="26">
        <f t="shared" si="8"/>
        <v>0.65327058623120404</v>
      </c>
      <c r="J26" s="26">
        <f t="shared" si="8"/>
        <v>0.3467294137687959</v>
      </c>
      <c r="K26" s="22">
        <f t="shared" si="0"/>
        <v>0.65454140651084669</v>
      </c>
      <c r="L26" s="48">
        <f t="shared" si="1"/>
        <v>0.34545859348915331</v>
      </c>
      <c r="M26" s="23">
        <v>12127194.989941301</v>
      </c>
      <c r="N26" s="24">
        <v>11736225.765056999</v>
      </c>
      <c r="O26" s="24">
        <v>6461842.1316275597</v>
      </c>
      <c r="P26" s="24">
        <v>336466531.53039402</v>
      </c>
      <c r="Q26" s="24">
        <v>273905484.88306099</v>
      </c>
      <c r="R26" s="24">
        <v>40444633.425059699</v>
      </c>
    </row>
    <row r="27" spans="1:20" ht="15" x14ac:dyDescent="0.25">
      <c r="A27" s="20">
        <f>A26+1</f>
        <v>2019</v>
      </c>
      <c r="B27" s="21">
        <f t="shared" si="2"/>
        <v>1.011974359197485</v>
      </c>
      <c r="C27" s="25">
        <f t="shared" si="3"/>
        <v>0.67317126118301007</v>
      </c>
      <c r="D27" s="25">
        <f t="shared" si="4"/>
        <v>1.8480961300280541</v>
      </c>
      <c r="E27" s="25">
        <f t="shared" si="5"/>
        <v>0.73804564308540677</v>
      </c>
      <c r="F27" s="47">
        <f t="shared" si="5"/>
        <v>0.43687922575963717</v>
      </c>
      <c r="G27" s="25">
        <f t="shared" si="6"/>
        <v>1.1279478068964011</v>
      </c>
      <c r="H27" s="25">
        <f t="shared" si="7"/>
        <v>1.2638477297937101</v>
      </c>
      <c r="I27" s="26">
        <f t="shared" si="8"/>
        <v>0.65432605885920592</v>
      </c>
      <c r="J27" s="26">
        <f t="shared" si="8"/>
        <v>0.34567394114079408</v>
      </c>
      <c r="K27" s="22">
        <f t="shared" si="0"/>
        <v>0.65411071120756514</v>
      </c>
      <c r="L27" s="48">
        <f t="shared" si="1"/>
        <v>0.34588928879243486</v>
      </c>
      <c r="M27" s="23">
        <v>12574391.334507899</v>
      </c>
      <c r="N27" s="24">
        <v>11955139.133263299</v>
      </c>
      <c r="O27" s="24">
        <v>6718333.3537813304</v>
      </c>
      <c r="P27" s="24">
        <v>340283182.84625202</v>
      </c>
      <c r="Q27" s="24">
        <v>277948159.38962901</v>
      </c>
      <c r="R27" s="24">
        <v>40959035.790581703</v>
      </c>
    </row>
    <row r="28" spans="1:20" ht="15" x14ac:dyDescent="0.25">
      <c r="A28" s="20">
        <f t="shared" ref="A28:A30" si="9">A27+1</f>
        <v>2020</v>
      </c>
      <c r="B28" s="21">
        <v>1</v>
      </c>
      <c r="C28" s="25">
        <f t="shared" si="3"/>
        <v>-1.19032337829141</v>
      </c>
      <c r="D28" s="25">
        <f t="shared" si="4"/>
        <v>-5.5852279916010161</v>
      </c>
      <c r="E28" s="25">
        <f t="shared" si="5"/>
        <v>-4.6400854794199899</v>
      </c>
      <c r="F28" s="47">
        <f t="shared" si="5"/>
        <v>0.24518086611038389</v>
      </c>
      <c r="G28" s="25">
        <f t="shared" si="6"/>
        <v>-7.0467005954931494</v>
      </c>
      <c r="H28" s="25">
        <f t="shared" si="7"/>
        <v>0.71790297654352742</v>
      </c>
      <c r="I28" s="26">
        <f t="shared" si="8"/>
        <v>0.65847632044813198</v>
      </c>
      <c r="J28" s="26">
        <f t="shared" si="8"/>
        <v>0.34152367955186802</v>
      </c>
      <c r="K28" s="22">
        <f t="shared" si="0"/>
        <v>0.66284192968869882</v>
      </c>
      <c r="L28" s="48">
        <f t="shared" si="1"/>
        <v>0.33715807031130118</v>
      </c>
      <c r="M28" s="23">
        <v>12147280.081043599</v>
      </c>
      <c r="N28" s="24">
        <v>11305721.884355299</v>
      </c>
      <c r="O28" s="24">
        <v>6613767.17555854</v>
      </c>
      <c r="P28" s="24">
        <v>317129800.61087298</v>
      </c>
      <c r="Q28" s="24">
        <v>260493528.63593701</v>
      </c>
      <c r="R28" s="24">
        <v>41254139.940992102</v>
      </c>
    </row>
    <row r="29" spans="1:20" ht="15" x14ac:dyDescent="0.25">
      <c r="A29" s="20">
        <f t="shared" si="9"/>
        <v>2021</v>
      </c>
      <c r="B29" s="21">
        <f>B28*EXP(C29/100)</f>
        <v>1.0202493086550093</v>
      </c>
      <c r="C29" s="25">
        <f t="shared" si="3"/>
        <v>2.0047017680425854</v>
      </c>
      <c r="D29" s="25">
        <f t="shared" si="4"/>
        <v>6.019759912814493</v>
      </c>
      <c r="E29" s="25">
        <f t="shared" si="5"/>
        <v>3.6577175526488404</v>
      </c>
      <c r="F29" s="47">
        <f t="shared" si="5"/>
        <v>0.35734059212306707</v>
      </c>
      <c r="G29" s="25">
        <f t="shared" si="6"/>
        <v>5.5647845138881991</v>
      </c>
      <c r="H29" s="25">
        <f t="shared" si="7"/>
        <v>1.0427129375351285</v>
      </c>
      <c r="I29" s="26">
        <f t="shared" si="8"/>
        <v>0.65729724907050135</v>
      </c>
      <c r="J29" s="26">
        <f t="shared" si="8"/>
        <v>0.3427027509294987</v>
      </c>
      <c r="K29" s="22">
        <f t="shared" si="0"/>
        <v>0.65175256845230378</v>
      </c>
      <c r="L29" s="48">
        <f t="shared" si="1"/>
        <v>0.34824743154769622</v>
      </c>
      <c r="M29" s="23">
        <v>13170217.2548336</v>
      </c>
      <c r="N29" s="24">
        <v>12007201.0599494</v>
      </c>
      <c r="O29" s="24">
        <v>7029454.0078845304</v>
      </c>
      <c r="P29" s="24">
        <v>335277652.123052</v>
      </c>
      <c r="Q29" s="24">
        <v>274568372.79537702</v>
      </c>
      <c r="R29" s="24">
        <v>41686552.6894278</v>
      </c>
    </row>
    <row r="30" spans="1:20" ht="15" x14ac:dyDescent="0.25">
      <c r="A30" s="20">
        <f t="shared" si="9"/>
        <v>2022</v>
      </c>
      <c r="B30" s="27">
        <f t="shared" ref="B30" si="10">B29*EXP(C30/100)</f>
        <v>1.0354424454356743</v>
      </c>
      <c r="C30" s="28">
        <f t="shared" si="3"/>
        <v>1.4781801204589788</v>
      </c>
      <c r="D30" s="25">
        <f t="shared" si="4"/>
        <v>3.6847941890176372</v>
      </c>
      <c r="E30" s="28">
        <f t="shared" si="5"/>
        <v>1.9185532409113581</v>
      </c>
      <c r="F30" s="51">
        <f t="shared" si="5"/>
        <v>0.28806082764730012</v>
      </c>
      <c r="G30" s="25">
        <f t="shared" si="6"/>
        <v>2.9817372791619334</v>
      </c>
      <c r="H30" s="25">
        <f t="shared" si="7"/>
        <v>0.80787679043368144</v>
      </c>
      <c r="I30" s="26">
        <f t="shared" si="8"/>
        <v>0.64343470309047457</v>
      </c>
      <c r="J30" s="26">
        <f t="shared" si="8"/>
        <v>0.35656529690952549</v>
      </c>
      <c r="K30" s="22">
        <f t="shared" si="0"/>
        <v>0.63511683772864524</v>
      </c>
      <c r="L30" s="48">
        <f t="shared" si="1"/>
        <v>0.36488316227135476</v>
      </c>
      <c r="M30" s="23">
        <v>14487828.0120419</v>
      </c>
      <c r="N30" s="23">
        <v>12457894.271823701</v>
      </c>
      <c r="O30" s="23">
        <v>7539820.72401556</v>
      </c>
      <c r="P30" s="24">
        <v>345425286.94684601</v>
      </c>
      <c r="Q30" s="24">
        <v>283046792.88946801</v>
      </c>
      <c r="R30" s="24">
        <v>42024692.711617798</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B3CBB-FED7-4C4D-92D3-629E9EB413F1}">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55</v>
      </c>
      <c r="B1" s="16"/>
    </row>
    <row r="2" spans="1:18" ht="99" customHeight="1" x14ac:dyDescent="0.2">
      <c r="A2" s="17" t="s">
        <v>56</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0.67188820592716048</v>
      </c>
      <c r="L9" s="48">
        <f t="shared" ref="L9:L30" si="1">1-K9</f>
        <v>0.32811179407283952</v>
      </c>
      <c r="M9" s="23">
        <v>6644278.8536987696</v>
      </c>
      <c r="N9" s="24">
        <v>8210900.0279835602</v>
      </c>
      <c r="O9" s="24">
        <v>3522217.9914709399</v>
      </c>
      <c r="P9" s="24">
        <v>237780355.02663401</v>
      </c>
      <c r="Q9" s="24">
        <v>187606263.361797</v>
      </c>
      <c r="R9" s="24">
        <v>28265852.782357201</v>
      </c>
    </row>
    <row r="10" spans="1:18" ht="15" x14ac:dyDescent="0.25">
      <c r="A10" s="20">
        <v>2002</v>
      </c>
      <c r="B10" s="21">
        <f t="shared" ref="B10:B27" si="2">B11*EXP(-C11/100)</f>
        <v>0.91785693335076657</v>
      </c>
      <c r="C10" s="25">
        <f t="shared" ref="C10:C30" si="3">D10-E10-F10</f>
        <v>0.3197790085016281</v>
      </c>
      <c r="D10" s="25">
        <f t="shared" ref="D10:D30" si="4">(LN(N10)-LN(N9))*100</f>
        <v>0.98232142911776066</v>
      </c>
      <c r="E10" s="25">
        <f t="shared" ref="E10:F30" si="5">I10*G10</f>
        <v>2.3795267364111077E-2</v>
      </c>
      <c r="F10" s="47">
        <f t="shared" si="5"/>
        <v>0.63874715325202147</v>
      </c>
      <c r="G10" s="25">
        <f t="shared" ref="G10:G30" si="6">(LN(P10)-LN(P9))*100</f>
        <v>3.5429295615330147E-2</v>
      </c>
      <c r="H10" s="25">
        <f t="shared" ref="H10:H30" si="7">(LN(R10)-LN(R9))*100</f>
        <v>1.9451871034991797</v>
      </c>
      <c r="I10" s="26">
        <f t="shared" ref="I10:J30" si="8">(K10+K9)/2</f>
        <v>0.67162688252303093</v>
      </c>
      <c r="J10" s="26">
        <f t="shared" si="8"/>
        <v>0.32837311747696912</v>
      </c>
      <c r="K10" s="22">
        <f t="shared" si="0"/>
        <v>0.67136555911890128</v>
      </c>
      <c r="L10" s="48">
        <f t="shared" si="1"/>
        <v>0.32863444088109872</v>
      </c>
      <c r="M10" s="23">
        <v>6873712.1877155704</v>
      </c>
      <c r="N10" s="24">
        <v>8291954.9164661197</v>
      </c>
      <c r="O10" s="24">
        <v>3647277.7174596102</v>
      </c>
      <c r="P10" s="24">
        <v>237864613.856805</v>
      </c>
      <c r="Q10" s="24">
        <v>187995853.35672599</v>
      </c>
      <c r="R10" s="24">
        <v>28821058.898007799</v>
      </c>
    </row>
    <row r="11" spans="1:18" ht="15" x14ac:dyDescent="0.25">
      <c r="A11" s="20">
        <v>2003</v>
      </c>
      <c r="B11" s="21">
        <f t="shared" si="2"/>
        <v>0.91722651827773516</v>
      </c>
      <c r="C11" s="25">
        <f t="shared" si="3"/>
        <v>-6.8706967769957439E-2</v>
      </c>
      <c r="D11" s="25">
        <f t="shared" si="4"/>
        <v>0.66224296007479921</v>
      </c>
      <c r="E11" s="25">
        <f t="shared" si="5"/>
        <v>9.5842598267278839E-2</v>
      </c>
      <c r="F11" s="47">
        <f t="shared" si="5"/>
        <v>0.63510732957747784</v>
      </c>
      <c r="G11" s="25">
        <f t="shared" si="6"/>
        <v>0.14277059407596937</v>
      </c>
      <c r="H11" s="25">
        <f t="shared" si="7"/>
        <v>1.9322080387883744</v>
      </c>
      <c r="I11" s="26">
        <f t="shared" si="8"/>
        <v>0.67130489221246936</v>
      </c>
      <c r="J11" s="26">
        <f t="shared" si="8"/>
        <v>0.32869510778753058</v>
      </c>
      <c r="K11" s="22">
        <f t="shared" si="0"/>
        <v>0.67124422530603756</v>
      </c>
      <c r="L11" s="48">
        <f t="shared" si="1"/>
        <v>0.32875577469396244</v>
      </c>
      <c r="M11" s="23">
        <v>7076346.9438024797</v>
      </c>
      <c r="N11" s="24">
        <v>8347050.0345666902</v>
      </c>
      <c r="O11" s="24">
        <v>3748897.4298119899</v>
      </c>
      <c r="P11" s="24">
        <v>238204457.11950099</v>
      </c>
      <c r="Q11" s="24">
        <v>188002559.36518699</v>
      </c>
      <c r="R11" s="24">
        <v>29383356.601573501</v>
      </c>
    </row>
    <row r="12" spans="1:18" ht="15" x14ac:dyDescent="0.25">
      <c r="A12" s="20">
        <v>2004</v>
      </c>
      <c r="B12" s="21">
        <f t="shared" si="2"/>
        <v>0.92721238802625172</v>
      </c>
      <c r="C12" s="25">
        <f t="shared" si="3"/>
        <v>1.0828189845931979</v>
      </c>
      <c r="D12" s="25">
        <f t="shared" si="4"/>
        <v>2.4183541295476729</v>
      </c>
      <c r="E12" s="25">
        <f t="shared" si="5"/>
        <v>0.70254192004368621</v>
      </c>
      <c r="F12" s="47">
        <f t="shared" si="5"/>
        <v>0.6329932249107888</v>
      </c>
      <c r="G12" s="25">
        <f t="shared" si="6"/>
        <v>1.0528114295226487</v>
      </c>
      <c r="H12" s="25">
        <f t="shared" si="7"/>
        <v>1.902599238477265</v>
      </c>
      <c r="I12" s="26">
        <f t="shared" si="8"/>
        <v>0.66730081032861044</v>
      </c>
      <c r="J12" s="26">
        <f t="shared" si="8"/>
        <v>0.33269918967138951</v>
      </c>
      <c r="K12" s="22">
        <f t="shared" si="0"/>
        <v>0.66335739535118343</v>
      </c>
      <c r="L12" s="48">
        <f t="shared" si="1"/>
        <v>0.33664260464881657</v>
      </c>
      <c r="M12" s="23">
        <v>7374123.6455815202</v>
      </c>
      <c r="N12" s="24">
        <v>8551371.9192074407</v>
      </c>
      <c r="O12" s="24">
        <v>3859013.8335445998</v>
      </c>
      <c r="P12" s="24">
        <v>240725548.75343299</v>
      </c>
      <c r="Q12" s="24">
        <v>189906806.315106</v>
      </c>
      <c r="R12" s="24">
        <v>29947756.226591401</v>
      </c>
    </row>
    <row r="13" spans="1:18" ht="15" x14ac:dyDescent="0.25">
      <c r="A13" s="20">
        <v>2005</v>
      </c>
      <c r="B13" s="21">
        <f t="shared" si="2"/>
        <v>0.93187547333509879</v>
      </c>
      <c r="C13" s="25">
        <f t="shared" si="3"/>
        <v>0.50165408369369502</v>
      </c>
      <c r="D13" s="25">
        <f t="shared" si="4"/>
        <v>1.6623430791645077</v>
      </c>
      <c r="E13" s="25">
        <f t="shared" si="5"/>
        <v>0.48310314246594471</v>
      </c>
      <c r="F13" s="47">
        <f t="shared" si="5"/>
        <v>0.67758585300486807</v>
      </c>
      <c r="G13" s="25">
        <f t="shared" si="6"/>
        <v>0.72974421776770271</v>
      </c>
      <c r="H13" s="25">
        <f t="shared" si="7"/>
        <v>2.0047932310809813</v>
      </c>
      <c r="I13" s="26">
        <f t="shared" si="8"/>
        <v>0.66201708859545838</v>
      </c>
      <c r="J13" s="26">
        <f t="shared" si="8"/>
        <v>0.33798291140454162</v>
      </c>
      <c r="K13" s="22">
        <f t="shared" si="0"/>
        <v>0.66067678183973333</v>
      </c>
      <c r="L13" s="48">
        <f t="shared" si="1"/>
        <v>0.33932321816026667</v>
      </c>
      <c r="M13" s="23">
        <v>7632507.8236369798</v>
      </c>
      <c r="N13" s="24">
        <v>8694713.1692786906</v>
      </c>
      <c r="O13" s="24">
        <v>3981367.39388425</v>
      </c>
      <c r="P13" s="24">
        <v>242488654.78413901</v>
      </c>
      <c r="Q13" s="24">
        <v>191455292.74901301</v>
      </c>
      <c r="R13" s="24">
        <v>30554205.531740598</v>
      </c>
    </row>
    <row r="14" spans="1:18" ht="15" x14ac:dyDescent="0.25">
      <c r="A14" s="20">
        <v>2006</v>
      </c>
      <c r="B14" s="21">
        <f t="shared" si="2"/>
        <v>0.94448417984077271</v>
      </c>
      <c r="C14" s="25">
        <f t="shared" si="3"/>
        <v>1.343974357246061</v>
      </c>
      <c r="D14" s="25">
        <f t="shared" si="4"/>
        <v>3.2802615647881339</v>
      </c>
      <c r="E14" s="25">
        <f t="shared" si="5"/>
        <v>1.1760789167304728</v>
      </c>
      <c r="F14" s="47">
        <f t="shared" si="5"/>
        <v>0.76020829081160002</v>
      </c>
      <c r="G14" s="25">
        <f t="shared" si="6"/>
        <v>1.7894282680064322</v>
      </c>
      <c r="H14" s="25">
        <f t="shared" si="7"/>
        <v>2.2178848030428355</v>
      </c>
      <c r="I14" s="26">
        <f t="shared" si="8"/>
        <v>0.65723725156120394</v>
      </c>
      <c r="J14" s="26">
        <f t="shared" si="8"/>
        <v>0.34276274843879601</v>
      </c>
      <c r="K14" s="22">
        <f t="shared" si="0"/>
        <v>0.65379772128267466</v>
      </c>
      <c r="L14" s="48">
        <f t="shared" si="1"/>
        <v>0.34620227871732534</v>
      </c>
      <c r="M14" s="23">
        <v>8022436.5491667902</v>
      </c>
      <c r="N14" s="24">
        <v>8984651.8799309693</v>
      </c>
      <c r="O14" s="24">
        <v>4153530.0780662098</v>
      </c>
      <c r="P14" s="24">
        <v>246866871.01223299</v>
      </c>
      <c r="Q14" s="24">
        <v>195492670.297553</v>
      </c>
      <c r="R14" s="24">
        <v>31239433.3057805</v>
      </c>
    </row>
    <row r="15" spans="1:18" ht="15" x14ac:dyDescent="0.25">
      <c r="A15" s="20">
        <v>2007</v>
      </c>
      <c r="B15" s="21">
        <f t="shared" si="2"/>
        <v>0.95394439040819201</v>
      </c>
      <c r="C15" s="25">
        <f t="shared" si="3"/>
        <v>0.99664417428265017</v>
      </c>
      <c r="D15" s="25">
        <f t="shared" si="4"/>
        <v>3.2015281404316198</v>
      </c>
      <c r="E15" s="25">
        <f t="shared" si="5"/>
        <v>1.3478013036266769</v>
      </c>
      <c r="F15" s="47">
        <f t="shared" si="5"/>
        <v>0.8570826625222927</v>
      </c>
      <c r="G15" s="25">
        <f t="shared" si="6"/>
        <v>2.07311214501118</v>
      </c>
      <c r="H15" s="25">
        <f t="shared" si="7"/>
        <v>2.4497475779650557</v>
      </c>
      <c r="I15" s="26">
        <f t="shared" si="8"/>
        <v>0.65013429537330136</v>
      </c>
      <c r="J15" s="26">
        <f t="shared" si="8"/>
        <v>0.34986570462669869</v>
      </c>
      <c r="K15" s="22">
        <f t="shared" si="0"/>
        <v>0.64647086946392796</v>
      </c>
      <c r="L15" s="48">
        <f t="shared" si="1"/>
        <v>0.35352913053607204</v>
      </c>
      <c r="M15" s="23">
        <v>8473356.5231506899</v>
      </c>
      <c r="N15" s="24">
        <v>9276952.1088741105</v>
      </c>
      <c r="O15" s="24">
        <v>4350536.5484488402</v>
      </c>
      <c r="P15" s="24">
        <v>252038115.741923</v>
      </c>
      <c r="Q15" s="24">
        <v>200172588.657334</v>
      </c>
      <c r="R15" s="24">
        <v>32014171.385559399</v>
      </c>
    </row>
    <row r="16" spans="1:18" ht="15" x14ac:dyDescent="0.25">
      <c r="A16" s="20">
        <v>2008</v>
      </c>
      <c r="B16" s="21">
        <f t="shared" si="2"/>
        <v>0.94906602081512459</v>
      </c>
      <c r="C16" s="25">
        <f t="shared" si="3"/>
        <v>-0.51270137572238783</v>
      </c>
      <c r="D16" s="25">
        <f t="shared" si="4"/>
        <v>0.65857745060533546</v>
      </c>
      <c r="E16" s="25">
        <f t="shared" si="5"/>
        <v>0.41847938459013534</v>
      </c>
      <c r="F16" s="47">
        <f t="shared" si="5"/>
        <v>0.75279944173758795</v>
      </c>
      <c r="G16" s="25">
        <f t="shared" si="6"/>
        <v>0.6437171623549176</v>
      </c>
      <c r="H16" s="25">
        <f t="shared" si="7"/>
        <v>2.1514593389557746</v>
      </c>
      <c r="I16" s="26">
        <f t="shared" si="8"/>
        <v>0.65009822490860358</v>
      </c>
      <c r="J16" s="26">
        <f t="shared" si="8"/>
        <v>0.34990177509139647</v>
      </c>
      <c r="K16" s="22">
        <f t="shared" si="0"/>
        <v>0.6537255803532791</v>
      </c>
      <c r="L16" s="48">
        <f t="shared" si="1"/>
        <v>0.3462744196467209</v>
      </c>
      <c r="M16" s="23">
        <v>8726353.4766598195</v>
      </c>
      <c r="N16" s="24">
        <v>9338249.6478997394</v>
      </c>
      <c r="O16" s="24">
        <v>4548133.6740413997</v>
      </c>
      <c r="P16" s="24">
        <v>253665761.44558099</v>
      </c>
      <c r="Q16" s="24">
        <v>202239877.06551</v>
      </c>
      <c r="R16" s="24">
        <v>32710406.0123212</v>
      </c>
    </row>
    <row r="17" spans="1:20" ht="15" x14ac:dyDescent="0.25">
      <c r="A17" s="20">
        <v>2009</v>
      </c>
      <c r="B17" s="21">
        <f t="shared" si="2"/>
        <v>0.92412619742203939</v>
      </c>
      <c r="C17" s="25">
        <f t="shared" si="3"/>
        <v>-2.6629725402905877</v>
      </c>
      <c r="D17" s="25">
        <f t="shared" si="4"/>
        <v>-4.5996376858155941</v>
      </c>
      <c r="E17" s="25">
        <f t="shared" si="5"/>
        <v>-2.3105542584609422</v>
      </c>
      <c r="F17" s="47">
        <f t="shared" si="5"/>
        <v>0.37388911293593574</v>
      </c>
      <c r="G17" s="25">
        <f t="shared" si="6"/>
        <v>-3.4770678911144159</v>
      </c>
      <c r="H17" s="25">
        <f t="shared" si="7"/>
        <v>1.1144643260358578</v>
      </c>
      <c r="I17" s="26">
        <f t="shared" si="8"/>
        <v>0.66451226459095658</v>
      </c>
      <c r="J17" s="26">
        <f t="shared" si="8"/>
        <v>0.33548773540904342</v>
      </c>
      <c r="K17" s="22">
        <f t="shared" si="0"/>
        <v>0.67529894882863406</v>
      </c>
      <c r="L17" s="48">
        <f t="shared" si="1"/>
        <v>0.32470105117136594</v>
      </c>
      <c r="M17" s="23">
        <v>8445999.6183989495</v>
      </c>
      <c r="N17" s="24">
        <v>8918452.5799171291</v>
      </c>
      <c r="O17" s="24">
        <v>4534505.7423310298</v>
      </c>
      <c r="P17" s="24">
        <v>244997209.75637701</v>
      </c>
      <c r="Q17" s="24">
        <v>194779821.41369301</v>
      </c>
      <c r="R17" s="24">
        <v>33076990.7520665</v>
      </c>
    </row>
    <row r="18" spans="1:20" ht="15" x14ac:dyDescent="0.25">
      <c r="A18" s="20">
        <v>2010</v>
      </c>
      <c r="B18" s="21">
        <f t="shared" si="2"/>
        <v>0.94352257016198193</v>
      </c>
      <c r="C18" s="25">
        <f t="shared" si="3"/>
        <v>2.077164665036026</v>
      </c>
      <c r="D18" s="25">
        <f t="shared" si="4"/>
        <v>2.1431412496792035</v>
      </c>
      <c r="E18" s="25">
        <f t="shared" si="5"/>
        <v>-0.2465798376215218</v>
      </c>
      <c r="F18" s="47">
        <f t="shared" si="5"/>
        <v>0.31255642226469965</v>
      </c>
      <c r="G18" s="25">
        <f t="shared" si="6"/>
        <v>-0.36684145373691024</v>
      </c>
      <c r="H18" s="25">
        <f t="shared" si="7"/>
        <v>0.95341020703045842</v>
      </c>
      <c r="I18" s="26">
        <f t="shared" si="8"/>
        <v>0.67217004814936443</v>
      </c>
      <c r="J18" s="26">
        <f t="shared" si="8"/>
        <v>0.32782995185063557</v>
      </c>
      <c r="K18" s="22">
        <f t="shared" si="0"/>
        <v>0.6690411474700948</v>
      </c>
      <c r="L18" s="48">
        <f t="shared" si="1"/>
        <v>0.3309588525299052</v>
      </c>
      <c r="M18" s="23">
        <v>8655100.8345070407</v>
      </c>
      <c r="N18" s="24">
        <v>9111650.4731820691</v>
      </c>
      <c r="O18" s="24">
        <v>4606454.4977034703</v>
      </c>
      <c r="P18" s="24">
        <v>244100104.912765</v>
      </c>
      <c r="Q18" s="24">
        <v>194182367.21229801</v>
      </c>
      <c r="R18" s="24">
        <v>33393858.2815153</v>
      </c>
    </row>
    <row r="19" spans="1:20" ht="15" x14ac:dyDescent="0.25">
      <c r="A19" s="20">
        <v>2011</v>
      </c>
      <c r="B19" s="21">
        <f t="shared" si="2"/>
        <v>0.95753143705389465</v>
      </c>
      <c r="C19" s="25">
        <f t="shared" si="3"/>
        <v>1.4738266685300507</v>
      </c>
      <c r="D19" s="25">
        <f t="shared" si="4"/>
        <v>1.8520046293222236</v>
      </c>
      <c r="E19" s="25">
        <f t="shared" si="5"/>
        <v>7.3635833696606159E-2</v>
      </c>
      <c r="F19" s="47">
        <f t="shared" si="5"/>
        <v>0.30454212709556683</v>
      </c>
      <c r="G19" s="25">
        <f t="shared" si="6"/>
        <v>0.110295314861375</v>
      </c>
      <c r="H19" s="25">
        <f t="shared" si="7"/>
        <v>0.9162587338753525</v>
      </c>
      <c r="I19" s="26">
        <f t="shared" si="8"/>
        <v>0.66762431195881333</v>
      </c>
      <c r="J19" s="26">
        <f t="shared" si="8"/>
        <v>0.33237568804118667</v>
      </c>
      <c r="K19" s="22">
        <f t="shared" si="0"/>
        <v>0.66620747644753187</v>
      </c>
      <c r="L19" s="48">
        <f t="shared" si="1"/>
        <v>0.33379252355246813</v>
      </c>
      <c r="M19" s="23">
        <v>8886233.5765059795</v>
      </c>
      <c r="N19" s="24">
        <v>9281970.9652644303</v>
      </c>
      <c r="O19" s="24">
        <v>4713260.1695054397</v>
      </c>
      <c r="P19" s="24">
        <v>244369484.421235</v>
      </c>
      <c r="Q19" s="24">
        <v>194554445.62442401</v>
      </c>
      <c r="R19" s="24">
        <v>33701238.473068699</v>
      </c>
    </row>
    <row r="20" spans="1:20" ht="15" x14ac:dyDescent="0.25">
      <c r="A20" s="20">
        <v>2012</v>
      </c>
      <c r="B20" s="21">
        <f t="shared" si="2"/>
        <v>0.95769306896404249</v>
      </c>
      <c r="C20" s="25">
        <f t="shared" si="3"/>
        <v>1.6878638511948707E-2</v>
      </c>
      <c r="D20" s="25">
        <f t="shared" si="4"/>
        <v>-0.80721639353988905</v>
      </c>
      <c r="E20" s="25">
        <f t="shared" si="5"/>
        <v>-1.0425646118166649</v>
      </c>
      <c r="F20" s="47">
        <f t="shared" si="5"/>
        <v>0.21846957976482717</v>
      </c>
      <c r="G20" s="25">
        <f t="shared" si="6"/>
        <v>-1.5572229519499103</v>
      </c>
      <c r="H20" s="25">
        <f t="shared" si="7"/>
        <v>0.6610324119581179</v>
      </c>
      <c r="I20" s="26">
        <f t="shared" si="8"/>
        <v>0.66950246945127234</v>
      </c>
      <c r="J20" s="26">
        <f t="shared" si="8"/>
        <v>0.3304975305487276</v>
      </c>
      <c r="K20" s="22">
        <f t="shared" si="0"/>
        <v>0.67279746245501293</v>
      </c>
      <c r="L20" s="48">
        <f t="shared" si="1"/>
        <v>0.32720253754498707</v>
      </c>
      <c r="M20" s="23">
        <v>8908028.8308654409</v>
      </c>
      <c r="N20" s="24">
        <v>9207346.9677666798</v>
      </c>
      <c r="O20" s="24">
        <v>4763048.4597043097</v>
      </c>
      <c r="P20" s="24">
        <v>240593582.62952799</v>
      </c>
      <c r="Q20" s="24">
        <v>191206688.716501</v>
      </c>
      <c r="R20" s="24">
        <v>33924752.518855304</v>
      </c>
    </row>
    <row r="21" spans="1:20" ht="15" x14ac:dyDescent="0.25">
      <c r="A21" s="20">
        <v>2013</v>
      </c>
      <c r="B21" s="21">
        <f t="shared" si="2"/>
        <v>0.96283834731684814</v>
      </c>
      <c r="C21" s="25">
        <f t="shared" si="3"/>
        <v>0.53581947364855909</v>
      </c>
      <c r="D21" s="25">
        <f t="shared" si="4"/>
        <v>-5.3099204091466845E-2</v>
      </c>
      <c r="E21" s="25">
        <f t="shared" si="5"/>
        <v>-0.77710859372020702</v>
      </c>
      <c r="F21" s="47">
        <f t="shared" si="5"/>
        <v>0.18818991598018103</v>
      </c>
      <c r="G21" s="25">
        <f t="shared" si="6"/>
        <v>-1.154253112262893</v>
      </c>
      <c r="H21" s="25">
        <f t="shared" si="7"/>
        <v>0.57595639214369498</v>
      </c>
      <c r="I21" s="26">
        <f t="shared" si="8"/>
        <v>0.6732566587554607</v>
      </c>
      <c r="J21" s="26">
        <f t="shared" si="8"/>
        <v>0.3267433412445393</v>
      </c>
      <c r="K21" s="22">
        <f t="shared" si="0"/>
        <v>0.67371585505590847</v>
      </c>
      <c r="L21" s="48">
        <f t="shared" si="1"/>
        <v>0.32628414494409153</v>
      </c>
      <c r="M21" s="23">
        <v>8991406.4515187293</v>
      </c>
      <c r="N21" s="24">
        <v>9202459.2375965901</v>
      </c>
      <c r="O21" s="24">
        <v>4813040.9249091297</v>
      </c>
      <c r="P21" s="24">
        <v>237832489.37152901</v>
      </c>
      <c r="Q21" s="24">
        <v>188967160.785705</v>
      </c>
      <c r="R21" s="24">
        <v>34120708.067063801</v>
      </c>
    </row>
    <row r="22" spans="1:20" ht="15" x14ac:dyDescent="0.25">
      <c r="A22" s="20">
        <v>2014</v>
      </c>
      <c r="B22" s="21">
        <f t="shared" si="2"/>
        <v>0.97041652785058985</v>
      </c>
      <c r="C22" s="25">
        <f t="shared" si="3"/>
        <v>0.78398554128203268</v>
      </c>
      <c r="D22" s="25">
        <f t="shared" si="4"/>
        <v>1.4246927060526104</v>
      </c>
      <c r="E22" s="25">
        <f t="shared" si="5"/>
        <v>0.44536767997371307</v>
      </c>
      <c r="F22" s="47">
        <f t="shared" si="5"/>
        <v>0.19533948479686472</v>
      </c>
      <c r="G22" s="25">
        <f t="shared" si="6"/>
        <v>0.66216798573108804</v>
      </c>
      <c r="H22" s="25">
        <f t="shared" si="7"/>
        <v>0.59662071383996818</v>
      </c>
      <c r="I22" s="26">
        <f t="shared" si="8"/>
        <v>0.67259017284260647</v>
      </c>
      <c r="J22" s="26">
        <f t="shared" si="8"/>
        <v>0.32740982715739353</v>
      </c>
      <c r="K22" s="22">
        <f t="shared" si="0"/>
        <v>0.67146449062930447</v>
      </c>
      <c r="L22" s="48">
        <f t="shared" si="1"/>
        <v>0.32853550937069553</v>
      </c>
      <c r="M22" s="23">
        <v>9195429.9055080004</v>
      </c>
      <c r="N22" s="24">
        <v>9334504.3884682897</v>
      </c>
      <c r="O22" s="24">
        <v>4918869.4375175396</v>
      </c>
      <c r="P22" s="24">
        <v>239412565.581806</v>
      </c>
      <c r="Q22" s="24">
        <v>190729182.34226301</v>
      </c>
      <c r="R22" s="24">
        <v>34324887.762621</v>
      </c>
    </row>
    <row r="23" spans="1:20" ht="15" x14ac:dyDescent="0.25">
      <c r="A23" s="20">
        <v>2015</v>
      </c>
      <c r="B23" s="21">
        <f t="shared" si="2"/>
        <v>0.97942169219982689</v>
      </c>
      <c r="C23" s="25">
        <f t="shared" si="3"/>
        <v>0.92368979984865263</v>
      </c>
      <c r="D23" s="25">
        <f t="shared" si="4"/>
        <v>1.9640081564162415</v>
      </c>
      <c r="E23" s="25">
        <f t="shared" si="5"/>
        <v>0.5906241516577293</v>
      </c>
      <c r="F23" s="47">
        <f t="shared" si="5"/>
        <v>0.44969420490985962</v>
      </c>
      <c r="G23" s="25">
        <f t="shared" si="6"/>
        <v>0.88458725077025235</v>
      </c>
      <c r="H23" s="25">
        <f t="shared" si="7"/>
        <v>1.3532098471184639</v>
      </c>
      <c r="I23" s="26">
        <f t="shared" si="8"/>
        <v>0.66768331913380463</v>
      </c>
      <c r="J23" s="26">
        <f t="shared" si="8"/>
        <v>0.33231668086619537</v>
      </c>
      <c r="K23" s="22">
        <f t="shared" si="0"/>
        <v>0.6639021476383048</v>
      </c>
      <c r="L23" s="48">
        <f t="shared" si="1"/>
        <v>0.3360978523616952</v>
      </c>
      <c r="M23" s="23">
        <v>9519646.9724853206</v>
      </c>
      <c r="N23" s="24">
        <v>9519646.9724853206</v>
      </c>
      <c r="O23" s="24">
        <v>5054105.1595743103</v>
      </c>
      <c r="P23" s="24">
        <v>241539773.24653199</v>
      </c>
      <c r="Q23" s="24">
        <v>193155914.70772001</v>
      </c>
      <c r="R23" s="24">
        <v>34792532.4949743</v>
      </c>
    </row>
    <row r="24" spans="1:20" ht="15" x14ac:dyDescent="0.25">
      <c r="A24" s="20">
        <v>2016</v>
      </c>
      <c r="B24" s="21">
        <f t="shared" si="2"/>
        <v>0.98340435327641507</v>
      </c>
      <c r="C24" s="25">
        <f t="shared" si="3"/>
        <v>0.40580942476761594</v>
      </c>
      <c r="D24" s="25">
        <f t="shared" si="4"/>
        <v>1.7418082377236743</v>
      </c>
      <c r="E24" s="25">
        <f t="shared" si="5"/>
        <v>1.0664806557670428</v>
      </c>
      <c r="F24" s="47">
        <f t="shared" si="5"/>
        <v>0.26951815718901562</v>
      </c>
      <c r="G24" s="25">
        <f t="shared" si="6"/>
        <v>1.6069570684337009</v>
      </c>
      <c r="H24" s="25">
        <f t="shared" si="7"/>
        <v>0.8013376673169148</v>
      </c>
      <c r="I24" s="26">
        <f t="shared" si="8"/>
        <v>0.66366468446262861</v>
      </c>
      <c r="J24" s="26">
        <f t="shared" si="8"/>
        <v>0.33633531553737134</v>
      </c>
      <c r="K24" s="22">
        <f t="shared" si="0"/>
        <v>0.66342722128695253</v>
      </c>
      <c r="L24" s="48">
        <f t="shared" si="1"/>
        <v>0.33657277871304747</v>
      </c>
      <c r="M24" s="23">
        <v>9770273.0411050208</v>
      </c>
      <c r="N24" s="24">
        <v>9686913.4695787895</v>
      </c>
      <c r="O24" s="24">
        <v>5207045.6731800605</v>
      </c>
      <c r="P24" s="24">
        <v>245452567.97141901</v>
      </c>
      <c r="Q24" s="24">
        <v>197178237.02270901</v>
      </c>
      <c r="R24" s="24">
        <v>35072458.240557402</v>
      </c>
    </row>
    <row r="25" spans="1:20" ht="15" x14ac:dyDescent="0.25">
      <c r="A25" s="20">
        <v>2017</v>
      </c>
      <c r="B25" s="21">
        <f t="shared" si="2"/>
        <v>0.99938736516723781</v>
      </c>
      <c r="C25" s="25">
        <f t="shared" si="3"/>
        <v>1.6122074683292782</v>
      </c>
      <c r="D25" s="25">
        <f t="shared" si="4"/>
        <v>2.6474257170747251</v>
      </c>
      <c r="E25" s="25">
        <f t="shared" si="5"/>
        <v>0.72079571526689579</v>
      </c>
      <c r="F25" s="47">
        <f t="shared" si="5"/>
        <v>0.3144225334785512</v>
      </c>
      <c r="G25" s="25">
        <f t="shared" si="6"/>
        <v>1.0889607300804016</v>
      </c>
      <c r="H25" s="25">
        <f t="shared" si="7"/>
        <v>0.930000890453897</v>
      </c>
      <c r="I25" s="26">
        <f t="shared" si="8"/>
        <v>0.66191157803613088</v>
      </c>
      <c r="J25" s="26">
        <f t="shared" si="8"/>
        <v>0.33808842196386918</v>
      </c>
      <c r="K25" s="22">
        <f t="shared" si="0"/>
        <v>0.66039593478530911</v>
      </c>
      <c r="L25" s="48">
        <f t="shared" si="1"/>
        <v>0.33960406521469089</v>
      </c>
      <c r="M25" s="23">
        <v>10135741.283174099</v>
      </c>
      <c r="N25" s="24">
        <v>9946792.1772248596</v>
      </c>
      <c r="O25" s="24">
        <v>5405113.4601582503</v>
      </c>
      <c r="P25" s="24">
        <v>248140056.336456</v>
      </c>
      <c r="Q25" s="24">
        <v>200374191.72708899</v>
      </c>
      <c r="R25" s="24">
        <v>35400153.838621497</v>
      </c>
    </row>
    <row r="26" spans="1:20" ht="15" x14ac:dyDescent="0.25">
      <c r="A26" s="20">
        <v>2018</v>
      </c>
      <c r="B26" s="21">
        <f t="shared" si="2"/>
        <v>1.0027857958056052</v>
      </c>
      <c r="C26" s="25">
        <f t="shared" si="3"/>
        <v>0.33947452381445165</v>
      </c>
      <c r="D26" s="25">
        <f t="shared" si="4"/>
        <v>1.8127920777303075</v>
      </c>
      <c r="E26" s="25">
        <f t="shared" si="5"/>
        <v>1.1296503125345467</v>
      </c>
      <c r="F26" s="47">
        <f t="shared" si="5"/>
        <v>0.34366724138130911</v>
      </c>
      <c r="G26" s="25">
        <f t="shared" si="6"/>
        <v>1.7069442047475292</v>
      </c>
      <c r="H26" s="25">
        <f t="shared" si="7"/>
        <v>1.0161562662453605</v>
      </c>
      <c r="I26" s="26">
        <f t="shared" si="8"/>
        <v>0.66179685861590953</v>
      </c>
      <c r="J26" s="26">
        <f t="shared" si="8"/>
        <v>0.33820314138409047</v>
      </c>
      <c r="K26" s="22">
        <f t="shared" si="0"/>
        <v>0.66319778244650995</v>
      </c>
      <c r="L26" s="48">
        <f t="shared" si="1"/>
        <v>0.33680221755349005</v>
      </c>
      <c r="M26" s="23">
        <v>10469077.7586866</v>
      </c>
      <c r="N26" s="24">
        <v>10128751.123542299</v>
      </c>
      <c r="O26" s="24">
        <v>5628419.3772748699</v>
      </c>
      <c r="P26" s="24">
        <v>252412024.983394</v>
      </c>
      <c r="Q26" s="24">
        <v>204618548.512061</v>
      </c>
      <c r="R26" s="24">
        <v>35761708.589648701</v>
      </c>
    </row>
    <row r="27" spans="1:20" ht="15" x14ac:dyDescent="0.25">
      <c r="A27" s="20">
        <f>A26+1</f>
        <v>2019</v>
      </c>
      <c r="B27" s="21">
        <f t="shared" si="2"/>
        <v>1.0072188288759474</v>
      </c>
      <c r="C27" s="25">
        <f t="shared" si="3"/>
        <v>0.44109751824335192</v>
      </c>
      <c r="D27" s="25">
        <f t="shared" si="4"/>
        <v>1.6020132488687722</v>
      </c>
      <c r="E27" s="25">
        <f t="shared" si="5"/>
        <v>0.71860145089579253</v>
      </c>
      <c r="F27" s="47">
        <f t="shared" si="5"/>
        <v>0.44231427972962772</v>
      </c>
      <c r="G27" s="25">
        <f t="shared" si="6"/>
        <v>1.0826341914057735</v>
      </c>
      <c r="H27" s="25">
        <f t="shared" si="7"/>
        <v>1.3154436656204638</v>
      </c>
      <c r="I27" s="26">
        <f t="shared" si="8"/>
        <v>0.663752776884597</v>
      </c>
      <c r="J27" s="26">
        <f t="shared" si="8"/>
        <v>0.33624722311540306</v>
      </c>
      <c r="K27" s="22">
        <f t="shared" si="0"/>
        <v>0.66430777132268393</v>
      </c>
      <c r="L27" s="48">
        <f t="shared" si="1"/>
        <v>0.33569222867731607</v>
      </c>
      <c r="M27" s="23">
        <v>10822726.374505401</v>
      </c>
      <c r="N27" s="24">
        <v>10292321.7719364</v>
      </c>
      <c r="O27" s="24">
        <v>5840983.7432363704</v>
      </c>
      <c r="P27" s="24">
        <v>255159569.96325201</v>
      </c>
      <c r="Q27" s="24">
        <v>207296441.75363001</v>
      </c>
      <c r="R27" s="24">
        <v>36235241.420530804</v>
      </c>
    </row>
    <row r="28" spans="1:20" ht="15" x14ac:dyDescent="0.25">
      <c r="A28" s="20">
        <f t="shared" ref="A28:A30" si="9">A27+1</f>
        <v>2020</v>
      </c>
      <c r="B28" s="21">
        <v>1</v>
      </c>
      <c r="C28" s="25">
        <f t="shared" si="3"/>
        <v>-0.71928978504165264</v>
      </c>
      <c r="D28" s="25">
        <f t="shared" si="4"/>
        <v>-6.0206956245970389</v>
      </c>
      <c r="E28" s="25">
        <f t="shared" si="5"/>
        <v>-5.557200998976044</v>
      </c>
      <c r="F28" s="47">
        <f t="shared" si="5"/>
        <v>0.25579515942065773</v>
      </c>
      <c r="G28" s="25">
        <f t="shared" si="6"/>
        <v>-8.3148856230153001</v>
      </c>
      <c r="H28" s="25">
        <f t="shared" si="7"/>
        <v>0.77126567518384093</v>
      </c>
      <c r="I28" s="26">
        <f t="shared" si="8"/>
        <v>0.66834364908086219</v>
      </c>
      <c r="J28" s="26">
        <f t="shared" si="8"/>
        <v>0.33165635091913781</v>
      </c>
      <c r="K28" s="22">
        <f t="shared" si="0"/>
        <v>0.67237952683904045</v>
      </c>
      <c r="L28" s="48">
        <f t="shared" si="1"/>
        <v>0.32762047316095955</v>
      </c>
      <c r="M28" s="23">
        <v>10410435.039472099</v>
      </c>
      <c r="N28" s="24">
        <v>9690937.8053884804</v>
      </c>
      <c r="O28" s="24">
        <v>5730281.0242416197</v>
      </c>
      <c r="P28" s="24">
        <v>234801448.67987299</v>
      </c>
      <c r="Q28" s="24">
        <v>192217681.031937</v>
      </c>
      <c r="R28" s="24">
        <v>36515791.9040052</v>
      </c>
    </row>
    <row r="29" spans="1:20" ht="15" x14ac:dyDescent="0.25">
      <c r="A29" s="20">
        <f t="shared" si="9"/>
        <v>2021</v>
      </c>
      <c r="B29" s="21">
        <f>B28*EXP(C29/100)</f>
        <v>1.0182070348700982</v>
      </c>
      <c r="C29" s="25">
        <f t="shared" si="3"/>
        <v>1.8043271586271397</v>
      </c>
      <c r="D29" s="25">
        <f t="shared" si="4"/>
        <v>6.0553574067053972</v>
      </c>
      <c r="E29" s="25">
        <f t="shared" si="5"/>
        <v>3.9780373580284301</v>
      </c>
      <c r="F29" s="47">
        <f t="shared" si="5"/>
        <v>0.27299289004982763</v>
      </c>
      <c r="G29" s="25">
        <f t="shared" si="6"/>
        <v>5.9639034920234479</v>
      </c>
      <c r="H29" s="25">
        <f t="shared" si="7"/>
        <v>0.81984541777266884</v>
      </c>
      <c r="I29" s="26">
        <f t="shared" si="8"/>
        <v>0.66701906953205103</v>
      </c>
      <c r="J29" s="26">
        <f t="shared" si="8"/>
        <v>0.33298093046794897</v>
      </c>
      <c r="K29" s="22">
        <f t="shared" si="0"/>
        <v>0.66165861222506162</v>
      </c>
      <c r="L29" s="48">
        <f t="shared" si="1"/>
        <v>0.33834138777493838</v>
      </c>
      <c r="M29" s="23">
        <v>11252606.339328101</v>
      </c>
      <c r="N29" s="24">
        <v>10295889.8924342</v>
      </c>
      <c r="O29" s="24">
        <v>6079875.1674099704</v>
      </c>
      <c r="P29" s="24">
        <v>249230779.54305199</v>
      </c>
      <c r="Q29" s="24">
        <v>203521006.97437701</v>
      </c>
      <c r="R29" s="24">
        <v>36816395.509390503</v>
      </c>
    </row>
    <row r="30" spans="1:20" ht="15" x14ac:dyDescent="0.25">
      <c r="A30" s="20">
        <f t="shared" si="9"/>
        <v>2022</v>
      </c>
      <c r="B30" s="27">
        <f t="shared" ref="B30" si="10">B29*EXP(C30/100)</f>
        <v>1.0301184328025483</v>
      </c>
      <c r="C30" s="28">
        <f t="shared" si="3"/>
        <v>1.1630507348644787</v>
      </c>
      <c r="D30" s="25">
        <f t="shared" si="4"/>
        <v>3.7751467684632445</v>
      </c>
      <c r="E30" s="28">
        <f t="shared" si="5"/>
        <v>2.3105036521599573</v>
      </c>
      <c r="F30" s="51">
        <f t="shared" si="5"/>
        <v>0.30159238143880845</v>
      </c>
      <c r="G30" s="25">
        <f t="shared" si="6"/>
        <v>3.5336102991799123</v>
      </c>
      <c r="H30" s="25">
        <f t="shared" si="7"/>
        <v>0.87131400013475968</v>
      </c>
      <c r="I30" s="26">
        <f t="shared" si="8"/>
        <v>0.65386487375141056</v>
      </c>
      <c r="J30" s="26">
        <f t="shared" si="8"/>
        <v>0.34613512624858939</v>
      </c>
      <c r="K30" s="22">
        <f t="shared" si="0"/>
        <v>0.64607113527775961</v>
      </c>
      <c r="L30" s="48">
        <f t="shared" si="1"/>
        <v>0.35392886472224039</v>
      </c>
      <c r="M30" s="23">
        <v>12336731.2266872</v>
      </c>
      <c r="N30" s="23">
        <v>10692004.762608999</v>
      </c>
      <c r="O30" s="23">
        <v>6513914.3910597498</v>
      </c>
      <c r="P30" s="24">
        <v>258195072.88884601</v>
      </c>
      <c r="Q30" s="24">
        <v>211013166.920468</v>
      </c>
      <c r="R30" s="24">
        <v>37138583.514063001</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7585-10F0-4BF0-8761-7BC68BEDF208}">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11.5703125" customWidth="1"/>
    <col min="21" max="21" width="11.42578125" customWidth="1"/>
    <col min="22" max="22" width="11.85546875" customWidth="1"/>
    <col min="23" max="24" width="8.140625" customWidth="1"/>
    <col min="25" max="25" width="11.7109375" customWidth="1"/>
    <col min="27" max="27" width="9.7109375" customWidth="1"/>
    <col min="28" max="28" width="8.7109375" customWidth="1"/>
  </cols>
  <sheetData>
    <row r="1" spans="1:29" ht="52.5" customHeight="1" x14ac:dyDescent="0.2">
      <c r="A1" s="31" t="s">
        <v>57</v>
      </c>
      <c r="B1" s="16"/>
    </row>
    <row r="2" spans="1:29" ht="102.75" customHeight="1" x14ac:dyDescent="0.2">
      <c r="A2" s="17" t="s">
        <v>142</v>
      </c>
    </row>
    <row r="3" spans="1:29" ht="409.5" customHeight="1" x14ac:dyDescent="0.2">
      <c r="A3" s="90" t="s">
        <v>134</v>
      </c>
      <c r="B3" s="16"/>
    </row>
    <row r="4" spans="1:29" ht="36.75" customHeight="1" x14ac:dyDescent="0.2">
      <c r="A4" s="17"/>
      <c r="B4" s="16"/>
    </row>
    <row r="5" spans="1:29" ht="409.5" customHeight="1" x14ac:dyDescent="0.2">
      <c r="A5" s="90" t="s">
        <v>136</v>
      </c>
      <c r="B5" s="16"/>
    </row>
    <row r="6" spans="1:29" ht="44.25" customHeight="1" x14ac:dyDescent="0.2">
      <c r="A6" s="17"/>
      <c r="B6" s="16"/>
    </row>
    <row r="7" spans="1:29" ht="120.75" customHeight="1" x14ac:dyDescent="0.2">
      <c r="A7" s="36" t="s">
        <v>4</v>
      </c>
      <c r="B7" s="16"/>
    </row>
    <row r="8" spans="1:29"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29" ht="18" x14ac:dyDescent="0.25">
      <c r="A9" s="20">
        <v>2001</v>
      </c>
      <c r="B9" s="21"/>
      <c r="C9" s="25"/>
      <c r="D9" s="25"/>
      <c r="E9" s="25"/>
      <c r="F9" s="47"/>
      <c r="G9" s="25"/>
      <c r="H9" s="25"/>
      <c r="I9" s="26"/>
      <c r="J9" s="26"/>
      <c r="K9" s="22">
        <f t="shared" ref="K9:K30" si="0">O9*(P9/Q9)/M9</f>
        <v>0.747968277702032</v>
      </c>
      <c r="L9" s="48">
        <f t="shared" ref="L9:L30" si="1">1-K9</f>
        <v>0.252031722297968</v>
      </c>
      <c r="M9" s="23">
        <v>236804.2</v>
      </c>
      <c r="N9" s="24">
        <v>298877.45489964</v>
      </c>
      <c r="O9" s="24">
        <v>135709.6</v>
      </c>
      <c r="P9" s="24">
        <v>6587459.2999999998</v>
      </c>
      <c r="Q9" s="24">
        <v>5047263</v>
      </c>
      <c r="R9" s="24">
        <v>1019499.0046686199</v>
      </c>
      <c r="T9" s="83"/>
      <c r="Y9" s="85"/>
      <c r="Z9" s="85"/>
      <c r="AA9" s="85"/>
    </row>
    <row r="10" spans="1:29" ht="18" x14ac:dyDescent="0.25">
      <c r="A10" s="20">
        <v>2002</v>
      </c>
      <c r="B10" s="21">
        <f t="shared" ref="B10:B27" si="2">B11*EXP(-C11/100)</f>
        <v>0.90032547947031638</v>
      </c>
      <c r="C10" s="25">
        <f t="shared" ref="C10:C30" si="3">D10-E10-F10</f>
        <v>0.5045376431302101</v>
      </c>
      <c r="D10" s="25">
        <f t="shared" ref="D10:D30" si="4">(LN(N10)-LN(N9))*100</f>
        <v>1.6197833382584292</v>
      </c>
      <c r="E10" s="25">
        <f t="shared" ref="E10:F30" si="5">I10*G10</f>
        <v>0.76016559901638125</v>
      </c>
      <c r="F10" s="47">
        <f t="shared" si="5"/>
        <v>0.35508009611183788</v>
      </c>
      <c r="G10" s="25">
        <f t="shared" ref="G10:G30" si="6">(LN(P10)-LN(P9))*100</f>
        <v>1.0090567550831153</v>
      </c>
      <c r="H10" s="25">
        <f t="shared" ref="H10:H30" si="7">(LN(R10)-LN(R9))*100</f>
        <v>1.4395689073063878</v>
      </c>
      <c r="I10" s="26">
        <f t="shared" ref="I10:J30" si="8">(K10+K9)/2</f>
        <v>0.75334275816206886</v>
      </c>
      <c r="J10" s="26">
        <f t="shared" si="8"/>
        <v>0.24665724183793108</v>
      </c>
      <c r="K10" s="22">
        <f t="shared" si="0"/>
        <v>0.75871723862210583</v>
      </c>
      <c r="L10" s="48">
        <f t="shared" si="1"/>
        <v>0.24128276137789417</v>
      </c>
      <c r="M10" s="23">
        <v>244560.7</v>
      </c>
      <c r="N10" s="24">
        <v>303758.04288194497</v>
      </c>
      <c r="O10" s="24">
        <v>141984.79999999999</v>
      </c>
      <c r="P10" s="24">
        <v>6654267</v>
      </c>
      <c r="Q10" s="24">
        <v>5091848.3</v>
      </c>
      <c r="R10" s="24">
        <v>1034281.54247063</v>
      </c>
      <c r="T10" s="83"/>
      <c r="U10" s="85"/>
      <c r="V10" s="85"/>
      <c r="W10" s="85"/>
      <c r="X10" s="85"/>
      <c r="Z10" s="85"/>
      <c r="AA10" s="85"/>
      <c r="AB10" s="85"/>
      <c r="AC10" s="85"/>
    </row>
    <row r="11" spans="1:29" ht="18" x14ac:dyDescent="0.25">
      <c r="A11" s="20">
        <v>2003</v>
      </c>
      <c r="B11" s="21">
        <f t="shared" si="2"/>
        <v>0.9063589644780039</v>
      </c>
      <c r="C11" s="25">
        <f t="shared" si="3"/>
        <v>0.66790938035792968</v>
      </c>
      <c r="D11" s="25">
        <f t="shared" si="4"/>
        <v>1.1079140861715686</v>
      </c>
      <c r="E11" s="25">
        <f t="shared" si="5"/>
        <v>0.14558932832341978</v>
      </c>
      <c r="F11" s="47">
        <f t="shared" si="5"/>
        <v>0.29441537749021923</v>
      </c>
      <c r="G11" s="25">
        <f t="shared" si="6"/>
        <v>0.19317943968353291</v>
      </c>
      <c r="H11" s="25">
        <f t="shared" si="7"/>
        <v>1.19510116770698</v>
      </c>
      <c r="I11" s="26">
        <f t="shared" si="8"/>
        <v>0.75364815511383942</v>
      </c>
      <c r="J11" s="26">
        <f t="shared" si="8"/>
        <v>0.24635184488616052</v>
      </c>
      <c r="K11" s="22">
        <f t="shared" si="0"/>
        <v>0.74857907160557313</v>
      </c>
      <c r="L11" s="48">
        <f t="shared" si="1"/>
        <v>0.25142092839442687</v>
      </c>
      <c r="M11" s="23">
        <v>251865.8</v>
      </c>
      <c r="N11" s="24">
        <v>307142.132815841</v>
      </c>
      <c r="O11" s="24">
        <v>144668.6</v>
      </c>
      <c r="P11" s="24">
        <v>6667134.0999999996</v>
      </c>
      <c r="Q11" s="24">
        <v>5115717.9000000004</v>
      </c>
      <c r="R11" s="24">
        <v>1046716.40988268</v>
      </c>
      <c r="T11" s="83"/>
      <c r="U11" s="85"/>
      <c r="V11" s="85"/>
      <c r="W11" s="85"/>
      <c r="X11" s="85"/>
      <c r="Z11" s="85"/>
      <c r="AA11" s="85"/>
      <c r="AB11" s="85"/>
      <c r="AC11" s="85"/>
    </row>
    <row r="12" spans="1:29" ht="18" x14ac:dyDescent="0.25">
      <c r="A12" s="20">
        <v>2004</v>
      </c>
      <c r="B12" s="21">
        <f t="shared" si="2"/>
        <v>0.93092819084322598</v>
      </c>
      <c r="C12" s="25">
        <f t="shared" si="3"/>
        <v>2.6746707485599064</v>
      </c>
      <c r="D12" s="25">
        <f t="shared" si="4"/>
        <v>3.1225842373530099</v>
      </c>
      <c r="E12" s="25">
        <f t="shared" si="5"/>
        <v>0.24300286238512026</v>
      </c>
      <c r="F12" s="47">
        <f t="shared" si="5"/>
        <v>0.20491062640798338</v>
      </c>
      <c r="G12" s="25">
        <f t="shared" si="6"/>
        <v>0.32884611299532907</v>
      </c>
      <c r="H12" s="25">
        <f t="shared" si="7"/>
        <v>0.78496634885922845</v>
      </c>
      <c r="I12" s="26">
        <f t="shared" si="8"/>
        <v>0.73895616454670354</v>
      </c>
      <c r="J12" s="26">
        <f t="shared" si="8"/>
        <v>0.26104383545329651</v>
      </c>
      <c r="K12" s="22">
        <f t="shared" si="0"/>
        <v>0.72933325748783384</v>
      </c>
      <c r="L12" s="48">
        <f t="shared" si="1"/>
        <v>0.27066674251216616</v>
      </c>
      <c r="M12" s="23">
        <v>264845.40000000002</v>
      </c>
      <c r="N12" s="24">
        <v>316884.21543498099</v>
      </c>
      <c r="O12" s="24">
        <v>148850.70000000001</v>
      </c>
      <c r="P12" s="24">
        <v>6689094.7999999998</v>
      </c>
      <c r="Q12" s="24">
        <v>5154657.0999999996</v>
      </c>
      <c r="R12" s="24">
        <v>1054965.11388844</v>
      </c>
      <c r="T12" s="83"/>
      <c r="U12" s="85"/>
      <c r="V12" s="85"/>
      <c r="W12" s="85"/>
      <c r="X12" s="85"/>
      <c r="Z12" s="85"/>
      <c r="AA12" s="85"/>
      <c r="AB12" s="85"/>
      <c r="AC12" s="85"/>
    </row>
    <row r="13" spans="1:29" ht="18" x14ac:dyDescent="0.25">
      <c r="A13" s="20">
        <v>2005</v>
      </c>
      <c r="B13" s="21">
        <f t="shared" si="2"/>
        <v>0.94097580071851761</v>
      </c>
      <c r="C13" s="25">
        <f t="shared" si="3"/>
        <v>1.0735279604254737</v>
      </c>
      <c r="D13" s="25">
        <f t="shared" si="4"/>
        <v>2.4165634621276411</v>
      </c>
      <c r="E13" s="25">
        <f t="shared" si="5"/>
        <v>0.56794312134075176</v>
      </c>
      <c r="F13" s="47">
        <f t="shared" si="5"/>
        <v>0.7750923803614157</v>
      </c>
      <c r="G13" s="25">
        <f t="shared" si="6"/>
        <v>0.78375353326674002</v>
      </c>
      <c r="H13" s="25">
        <f t="shared" si="7"/>
        <v>2.814884538215523</v>
      </c>
      <c r="I13" s="26">
        <f t="shared" si="8"/>
        <v>0.72464505387749223</v>
      </c>
      <c r="J13" s="26">
        <f t="shared" si="8"/>
        <v>0.27535494612250783</v>
      </c>
      <c r="K13" s="22">
        <f t="shared" si="0"/>
        <v>0.71995685026715051</v>
      </c>
      <c r="L13" s="48">
        <f t="shared" si="1"/>
        <v>0.28004314973284949</v>
      </c>
      <c r="M13" s="23">
        <v>276828.7</v>
      </c>
      <c r="N13" s="24">
        <v>324635.200137935</v>
      </c>
      <c r="O13" s="24">
        <v>153985.4</v>
      </c>
      <c r="P13" s="24">
        <v>6741726.7999999998</v>
      </c>
      <c r="Q13" s="24">
        <v>5208745.2</v>
      </c>
      <c r="R13" s="24">
        <v>1085083.06792256</v>
      </c>
      <c r="T13" s="83"/>
      <c r="U13" s="85"/>
      <c r="V13" s="85"/>
      <c r="W13" s="85"/>
      <c r="X13" s="85"/>
      <c r="Z13" s="85"/>
      <c r="AA13" s="85"/>
      <c r="AB13" s="85"/>
      <c r="AC13" s="85"/>
    </row>
    <row r="14" spans="1:29" ht="18" x14ac:dyDescent="0.25">
      <c r="A14" s="20">
        <v>2006</v>
      </c>
      <c r="B14" s="21">
        <f t="shared" si="2"/>
        <v>0.94546784794147476</v>
      </c>
      <c r="C14" s="25">
        <f t="shared" si="3"/>
        <v>0.4762459473937557</v>
      </c>
      <c r="D14" s="25">
        <f t="shared" si="4"/>
        <v>2.4206759649942455</v>
      </c>
      <c r="E14" s="25">
        <f t="shared" si="5"/>
        <v>1.4441289277087077</v>
      </c>
      <c r="F14" s="47">
        <f t="shared" si="5"/>
        <v>0.50030108989178212</v>
      </c>
      <c r="G14" s="25">
        <f t="shared" si="6"/>
        <v>2.0026793290899292</v>
      </c>
      <c r="H14" s="25">
        <f t="shared" si="7"/>
        <v>1.7938267496894866</v>
      </c>
      <c r="I14" s="26">
        <f t="shared" si="8"/>
        <v>0.72109843384909678</v>
      </c>
      <c r="J14" s="26">
        <f t="shared" si="8"/>
        <v>0.27890156615090322</v>
      </c>
      <c r="K14" s="22">
        <f t="shared" si="0"/>
        <v>0.72224001743104305</v>
      </c>
      <c r="L14" s="48">
        <f t="shared" si="1"/>
        <v>0.27775998256895695</v>
      </c>
      <c r="M14" s="23">
        <v>290022.59999999998</v>
      </c>
      <c r="N14" s="24">
        <v>332589.45131776499</v>
      </c>
      <c r="O14" s="24">
        <v>161393.20000000001</v>
      </c>
      <c r="P14" s="24">
        <v>6878103</v>
      </c>
      <c r="Q14" s="24">
        <v>5299568.5999999996</v>
      </c>
      <c r="R14" s="24">
        <v>1104723.2066323799</v>
      </c>
      <c r="T14" s="83"/>
      <c r="U14" s="85"/>
      <c r="V14" s="85"/>
      <c r="W14" s="85"/>
      <c r="X14" s="85"/>
      <c r="Z14" s="85"/>
      <c r="AA14" s="85"/>
      <c r="AB14" s="85"/>
      <c r="AC14" s="85"/>
    </row>
    <row r="15" spans="1:29" ht="18" x14ac:dyDescent="0.25">
      <c r="A15" s="20">
        <v>2007</v>
      </c>
      <c r="B15" s="21">
        <f t="shared" si="2"/>
        <v>0.96251753553086938</v>
      </c>
      <c r="C15" s="25">
        <f t="shared" si="3"/>
        <v>1.7872402559139777</v>
      </c>
      <c r="D15" s="25">
        <f t="shared" si="4"/>
        <v>3.6613688072804962</v>
      </c>
      <c r="E15" s="25">
        <f t="shared" si="5"/>
        <v>1.2822703338706729</v>
      </c>
      <c r="F15" s="47">
        <f t="shared" si="5"/>
        <v>0.59185821749584555</v>
      </c>
      <c r="G15" s="25">
        <f t="shared" si="6"/>
        <v>1.7792293695151784</v>
      </c>
      <c r="H15" s="25">
        <f t="shared" si="7"/>
        <v>2.1189905960595112</v>
      </c>
      <c r="I15" s="26">
        <f t="shared" si="8"/>
        <v>0.72068860588788408</v>
      </c>
      <c r="J15" s="26">
        <f t="shared" si="8"/>
        <v>0.27931139411211592</v>
      </c>
      <c r="K15" s="22">
        <f t="shared" si="0"/>
        <v>0.71913719434472512</v>
      </c>
      <c r="L15" s="48">
        <f t="shared" si="1"/>
        <v>0.28086280565527488</v>
      </c>
      <c r="M15" s="23">
        <v>306588.90000000002</v>
      </c>
      <c r="N15" s="24">
        <v>344992.45199172199</v>
      </c>
      <c r="O15" s="24">
        <v>170105.60000000001</v>
      </c>
      <c r="P15" s="24">
        <v>7001575.4000000004</v>
      </c>
      <c r="Q15" s="24">
        <v>5401895.7999999998</v>
      </c>
      <c r="R15" s="24">
        <v>1128381.9656839699</v>
      </c>
      <c r="T15" s="83"/>
      <c r="U15" s="85"/>
      <c r="V15" s="85"/>
      <c r="W15" s="85"/>
      <c r="X15" s="85"/>
      <c r="Z15" s="85"/>
      <c r="AA15" s="85"/>
      <c r="AB15" s="85"/>
      <c r="AC15" s="85"/>
    </row>
    <row r="16" spans="1:29" ht="18" x14ac:dyDescent="0.25">
      <c r="A16" s="20">
        <v>2008</v>
      </c>
      <c r="B16" s="21">
        <f t="shared" si="2"/>
        <v>0.95577241360422294</v>
      </c>
      <c r="C16" s="25">
        <f t="shared" si="3"/>
        <v>-0.70324611024361916</v>
      </c>
      <c r="D16" s="25">
        <f t="shared" si="4"/>
        <v>0.7848918333799304</v>
      </c>
      <c r="E16" s="25">
        <f t="shared" si="5"/>
        <v>0.77494013836194531</v>
      </c>
      <c r="F16" s="47">
        <f t="shared" si="5"/>
        <v>0.71319780526160426</v>
      </c>
      <c r="G16" s="25">
        <f t="shared" si="6"/>
        <v>1.0620287377760107</v>
      </c>
      <c r="H16" s="25">
        <f t="shared" si="7"/>
        <v>2.6383373162587986</v>
      </c>
      <c r="I16" s="26">
        <f t="shared" si="8"/>
        <v>0.72967906686286454</v>
      </c>
      <c r="J16" s="26">
        <f t="shared" si="8"/>
        <v>0.27032093313713551</v>
      </c>
      <c r="K16" s="22">
        <f t="shared" si="0"/>
        <v>0.74022093938100386</v>
      </c>
      <c r="L16" s="48">
        <f t="shared" si="1"/>
        <v>0.25977906061899614</v>
      </c>
      <c r="M16" s="23">
        <v>313984</v>
      </c>
      <c r="N16" s="24">
        <v>347710.92415010399</v>
      </c>
      <c r="O16" s="24">
        <v>179628.2</v>
      </c>
      <c r="P16" s="24">
        <v>7076330.4000000004</v>
      </c>
      <c r="Q16" s="24">
        <v>5469073.2000000002</v>
      </c>
      <c r="R16" s="24">
        <v>1158548.68824708</v>
      </c>
      <c r="T16" s="83"/>
      <c r="U16" s="85"/>
      <c r="V16" s="85"/>
      <c r="W16" s="85"/>
      <c r="X16" s="85"/>
      <c r="Z16" s="85"/>
      <c r="AA16" s="85"/>
      <c r="AB16" s="85"/>
      <c r="AC16" s="85"/>
    </row>
    <row r="17" spans="1:29" ht="18" x14ac:dyDescent="0.25">
      <c r="A17" s="20">
        <v>2009</v>
      </c>
      <c r="B17" s="21">
        <f t="shared" si="2"/>
        <v>0.94521323871593033</v>
      </c>
      <c r="C17" s="25">
        <f t="shared" si="3"/>
        <v>-1.1109272153329486</v>
      </c>
      <c r="D17" s="25">
        <f t="shared" si="4"/>
        <v>-1.8628766388319562</v>
      </c>
      <c r="E17" s="25">
        <f t="shared" si="5"/>
        <v>-0.97422035773893556</v>
      </c>
      <c r="F17" s="47">
        <f t="shared" si="5"/>
        <v>0.222270934239928</v>
      </c>
      <c r="G17" s="25">
        <f t="shared" si="6"/>
        <v>-1.2978006045523571</v>
      </c>
      <c r="H17" s="25">
        <f t="shared" si="7"/>
        <v>0.89147392546902182</v>
      </c>
      <c r="I17" s="26">
        <f t="shared" si="8"/>
        <v>0.7506702912000629</v>
      </c>
      <c r="J17" s="26">
        <f t="shared" si="8"/>
        <v>0.24932970879993704</v>
      </c>
      <c r="K17" s="22">
        <f t="shared" si="0"/>
        <v>0.76111964301912205</v>
      </c>
      <c r="L17" s="48">
        <f t="shared" si="1"/>
        <v>0.23888035698087795</v>
      </c>
      <c r="M17" s="23">
        <v>311073.7</v>
      </c>
      <c r="N17" s="24">
        <v>341293.45889117703</v>
      </c>
      <c r="O17" s="24">
        <v>181009.7</v>
      </c>
      <c r="P17" s="24">
        <v>6985087.0999999996</v>
      </c>
      <c r="Q17" s="24">
        <v>5340199.0999999996</v>
      </c>
      <c r="R17" s="24">
        <v>1168923.0212473299</v>
      </c>
      <c r="T17" s="83"/>
      <c r="U17" s="85"/>
      <c r="V17" s="85"/>
      <c r="W17" s="85"/>
      <c r="X17" s="85"/>
      <c r="Z17" s="85"/>
      <c r="AA17" s="85"/>
      <c r="AB17" s="85"/>
      <c r="AC17" s="85"/>
    </row>
    <row r="18" spans="1:29" ht="18" x14ac:dyDescent="0.25">
      <c r="A18" s="20">
        <v>2010</v>
      </c>
      <c r="B18" s="21">
        <f t="shared" si="2"/>
        <v>0.95682729013176726</v>
      </c>
      <c r="C18" s="25">
        <f t="shared" si="3"/>
        <v>1.2212353610936484</v>
      </c>
      <c r="D18" s="25">
        <f t="shared" si="4"/>
        <v>2.6949280406251219</v>
      </c>
      <c r="E18" s="25">
        <f t="shared" si="5"/>
        <v>1.1991955999325674</v>
      </c>
      <c r="F18" s="47">
        <f t="shared" si="5"/>
        <v>0.27449707959890601</v>
      </c>
      <c r="G18" s="25">
        <f t="shared" si="6"/>
        <v>1.5869517363610086</v>
      </c>
      <c r="H18" s="25">
        <f t="shared" si="7"/>
        <v>1.1234215945822967</v>
      </c>
      <c r="I18" s="26">
        <f t="shared" si="8"/>
        <v>0.75565977997693046</v>
      </c>
      <c r="J18" s="26">
        <f t="shared" si="8"/>
        <v>0.24434022002306954</v>
      </c>
      <c r="K18" s="22">
        <f t="shared" si="0"/>
        <v>0.75019991693473886</v>
      </c>
      <c r="L18" s="48">
        <f t="shared" si="1"/>
        <v>0.24980008306526114</v>
      </c>
      <c r="M18" s="23">
        <v>324827</v>
      </c>
      <c r="N18" s="24">
        <v>350616.12740005302</v>
      </c>
      <c r="O18" s="24">
        <v>184886.39999999999</v>
      </c>
      <c r="P18" s="24">
        <v>7096821.2999999998</v>
      </c>
      <c r="Q18" s="24">
        <v>5384429.5999999996</v>
      </c>
      <c r="R18" s="24">
        <v>1182128.99538377</v>
      </c>
      <c r="T18" s="83"/>
      <c r="U18" s="85"/>
      <c r="V18" s="85"/>
      <c r="W18" s="85"/>
      <c r="X18" s="85"/>
      <c r="Z18" s="85"/>
      <c r="AA18" s="85"/>
      <c r="AB18" s="85"/>
      <c r="AC18" s="85"/>
    </row>
    <row r="19" spans="1:29" ht="18" x14ac:dyDescent="0.25">
      <c r="A19" s="20">
        <v>2011</v>
      </c>
      <c r="B19" s="21">
        <f t="shared" si="2"/>
        <v>0.95844635308952275</v>
      </c>
      <c r="C19" s="25">
        <f t="shared" si="3"/>
        <v>0.169068618382476</v>
      </c>
      <c r="D19" s="25">
        <f t="shared" si="4"/>
        <v>2.2290043464513687</v>
      </c>
      <c r="E19" s="25">
        <f t="shared" si="5"/>
        <v>1.7016495961290787</v>
      </c>
      <c r="F19" s="47">
        <f t="shared" si="5"/>
        <v>0.35828613193981396</v>
      </c>
      <c r="G19" s="25">
        <f t="shared" si="6"/>
        <v>2.2646895157075519</v>
      </c>
      <c r="H19" s="25">
        <f t="shared" si="7"/>
        <v>1.4411177936281661</v>
      </c>
      <c r="I19" s="26">
        <f t="shared" si="8"/>
        <v>0.75138317386409414</v>
      </c>
      <c r="J19" s="26">
        <f t="shared" si="8"/>
        <v>0.2486168261359058</v>
      </c>
      <c r="K19" s="22">
        <f t="shared" si="0"/>
        <v>0.75256643079344954</v>
      </c>
      <c r="L19" s="48">
        <f t="shared" si="1"/>
        <v>0.24743356920655046</v>
      </c>
      <c r="M19" s="23">
        <v>339303.2</v>
      </c>
      <c r="N19" s="24">
        <v>358519.12802099402</v>
      </c>
      <c r="O19" s="24">
        <v>193278.5</v>
      </c>
      <c r="P19" s="24">
        <v>7259376</v>
      </c>
      <c r="Q19" s="24">
        <v>5494776.5999999996</v>
      </c>
      <c r="R19" s="24">
        <v>1199288.2119708799</v>
      </c>
      <c r="T19" s="83"/>
      <c r="U19" s="85"/>
      <c r="V19" s="85"/>
      <c r="W19" s="85"/>
      <c r="X19" s="85"/>
      <c r="Z19" s="85"/>
      <c r="AA19" s="85"/>
      <c r="AB19" s="85"/>
      <c r="AC19" s="85"/>
    </row>
    <row r="20" spans="1:29" ht="18" x14ac:dyDescent="0.25">
      <c r="A20" s="20">
        <v>2012</v>
      </c>
      <c r="B20" s="21">
        <f t="shared" si="2"/>
        <v>0.95647324518715382</v>
      </c>
      <c r="C20" s="25">
        <f t="shared" si="3"/>
        <v>-0.20607743556709379</v>
      </c>
      <c r="D20" s="25">
        <f t="shared" si="4"/>
        <v>0.20290630496635487</v>
      </c>
      <c r="E20" s="25">
        <f t="shared" si="5"/>
        <v>7.9577598694804408E-2</v>
      </c>
      <c r="F20" s="47">
        <f t="shared" si="5"/>
        <v>0.32940614183864425</v>
      </c>
      <c r="G20" s="25">
        <f t="shared" si="6"/>
        <v>0.10508052929356637</v>
      </c>
      <c r="H20" s="25">
        <f t="shared" si="7"/>
        <v>1.3572625154944618</v>
      </c>
      <c r="I20" s="26">
        <f t="shared" si="8"/>
        <v>0.7573010835574141</v>
      </c>
      <c r="J20" s="26">
        <f t="shared" si="8"/>
        <v>0.24269891644258584</v>
      </c>
      <c r="K20" s="22">
        <f t="shared" si="0"/>
        <v>0.76203573632137878</v>
      </c>
      <c r="L20" s="48">
        <f t="shared" si="1"/>
        <v>0.23796426367862122</v>
      </c>
      <c r="M20" s="23">
        <v>347256.9</v>
      </c>
      <c r="N20" s="24">
        <v>359247.32446466997</v>
      </c>
      <c r="O20" s="24">
        <v>199851</v>
      </c>
      <c r="P20" s="24">
        <v>7267008.2000000002</v>
      </c>
      <c r="Q20" s="24">
        <v>5488273.5999999996</v>
      </c>
      <c r="R20" s="24">
        <v>1215676.6669185699</v>
      </c>
      <c r="T20" s="83"/>
      <c r="U20" s="85"/>
      <c r="V20" s="85"/>
      <c r="W20" s="85"/>
      <c r="X20" s="85"/>
      <c r="Z20" s="85"/>
      <c r="AA20" s="85"/>
      <c r="AB20" s="85"/>
      <c r="AC20" s="85"/>
    </row>
    <row r="21" spans="1:29" ht="18" x14ac:dyDescent="0.25">
      <c r="A21" s="20">
        <v>2013</v>
      </c>
      <c r="B21" s="21">
        <f t="shared" si="2"/>
        <v>0.95840126688179794</v>
      </c>
      <c r="C21" s="25">
        <f t="shared" si="3"/>
        <v>0.20137323192948897</v>
      </c>
      <c r="D21" s="25">
        <f t="shared" si="4"/>
        <v>0.23160011977871875</v>
      </c>
      <c r="E21" s="25">
        <f t="shared" si="5"/>
        <v>-0.22501575972539908</v>
      </c>
      <c r="F21" s="47">
        <f t="shared" si="5"/>
        <v>0.25524264757462889</v>
      </c>
      <c r="G21" s="25">
        <f t="shared" si="6"/>
        <v>-0.29434188306858289</v>
      </c>
      <c r="H21" s="25">
        <f t="shared" si="7"/>
        <v>1.0836982929886219</v>
      </c>
      <c r="I21" s="26">
        <f t="shared" si="8"/>
        <v>0.76447074870744602</v>
      </c>
      <c r="J21" s="26">
        <f t="shared" si="8"/>
        <v>0.23552925129255398</v>
      </c>
      <c r="K21" s="22">
        <f t="shared" si="0"/>
        <v>0.76690576109351327</v>
      </c>
      <c r="L21" s="48">
        <f t="shared" si="1"/>
        <v>0.23309423890648673</v>
      </c>
      <c r="M21" s="23">
        <v>353107</v>
      </c>
      <c r="N21" s="24">
        <v>360080.30591912201</v>
      </c>
      <c r="O21" s="24">
        <v>203695.9</v>
      </c>
      <c r="P21" s="24">
        <v>7245649.7999999998</v>
      </c>
      <c r="Q21" s="24">
        <v>5450185.7000000002</v>
      </c>
      <c r="R21" s="24">
        <v>1228922.57742598</v>
      </c>
      <c r="T21" s="83"/>
      <c r="U21" s="85"/>
      <c r="V21" s="85"/>
      <c r="W21" s="85"/>
      <c r="X21" s="85"/>
      <c r="Z21" s="85"/>
      <c r="AA21" s="85"/>
      <c r="AB21" s="85"/>
      <c r="AC21" s="85"/>
    </row>
    <row r="22" spans="1:29" ht="18" x14ac:dyDescent="0.25">
      <c r="A22" s="20">
        <v>2014</v>
      </c>
      <c r="B22" s="21">
        <f t="shared" si="2"/>
        <v>0.97222632465805325</v>
      </c>
      <c r="C22" s="25">
        <f t="shared" si="3"/>
        <v>1.4322072422851195</v>
      </c>
      <c r="D22" s="25">
        <f t="shared" si="4"/>
        <v>1.8704513009369705</v>
      </c>
      <c r="E22" s="25">
        <f t="shared" si="5"/>
        <v>0.10372319253527776</v>
      </c>
      <c r="F22" s="47">
        <f t="shared" si="5"/>
        <v>0.33452086611657339</v>
      </c>
      <c r="G22" s="25">
        <f t="shared" si="6"/>
        <v>0.13621242391952393</v>
      </c>
      <c r="H22" s="25">
        <f t="shared" si="7"/>
        <v>1.4024923361988684</v>
      </c>
      <c r="I22" s="26">
        <f t="shared" si="8"/>
        <v>0.76148114504267816</v>
      </c>
      <c r="J22" s="26">
        <f t="shared" si="8"/>
        <v>0.23851885495732189</v>
      </c>
      <c r="K22" s="22">
        <f t="shared" si="0"/>
        <v>0.75605652899184295</v>
      </c>
      <c r="L22" s="48">
        <f t="shared" si="1"/>
        <v>0.24394347100815705</v>
      </c>
      <c r="M22" s="23">
        <v>362940</v>
      </c>
      <c r="N22" s="24">
        <v>366878.81588593702</v>
      </c>
      <c r="O22" s="24">
        <v>206318</v>
      </c>
      <c r="P22" s="24">
        <v>7255526</v>
      </c>
      <c r="Q22" s="24">
        <v>5455278.4000000004</v>
      </c>
      <c r="R22" s="24">
        <v>1246279.5530117699</v>
      </c>
      <c r="T22" s="83"/>
      <c r="U22" s="85"/>
      <c r="V22" s="85"/>
      <c r="W22" s="85"/>
      <c r="X22" s="85"/>
      <c r="Z22" s="85"/>
      <c r="AA22" s="85"/>
      <c r="AB22" s="85"/>
      <c r="AC22" s="85"/>
    </row>
    <row r="23" spans="1:29" ht="18" x14ac:dyDescent="0.25">
      <c r="A23" s="20">
        <v>2015</v>
      </c>
      <c r="B23" s="21">
        <f t="shared" si="2"/>
        <v>0.98010671121660708</v>
      </c>
      <c r="C23" s="25">
        <f t="shared" si="3"/>
        <v>0.80728330783576219</v>
      </c>
      <c r="D23" s="25">
        <f t="shared" si="4"/>
        <v>1.5336712791341967</v>
      </c>
      <c r="E23" s="25">
        <f t="shared" si="5"/>
        <v>0.35067583977732514</v>
      </c>
      <c r="F23" s="47">
        <f t="shared" si="5"/>
        <v>0.37571213152110933</v>
      </c>
      <c r="G23" s="25">
        <f t="shared" si="6"/>
        <v>0.46788006824165507</v>
      </c>
      <c r="H23" s="25">
        <f t="shared" si="7"/>
        <v>1.4998453557399927</v>
      </c>
      <c r="I23" s="26">
        <f t="shared" si="8"/>
        <v>0.74949942000137693</v>
      </c>
      <c r="J23" s="26">
        <f t="shared" si="8"/>
        <v>0.25050057999862307</v>
      </c>
      <c r="K23" s="22">
        <f t="shared" si="0"/>
        <v>0.74294231101091091</v>
      </c>
      <c r="L23" s="48">
        <f t="shared" si="1"/>
        <v>0.25705768898908909</v>
      </c>
      <c r="M23" s="23">
        <v>372548.9</v>
      </c>
      <c r="N23" s="24">
        <v>372548.9</v>
      </c>
      <c r="O23" s="24">
        <v>208238</v>
      </c>
      <c r="P23" s="24">
        <v>7289552.7000000002</v>
      </c>
      <c r="Q23" s="24">
        <v>5484316.2000000002</v>
      </c>
      <c r="R23" s="24">
        <v>1265112.7</v>
      </c>
      <c r="T23" s="83"/>
      <c r="U23" s="85"/>
      <c r="V23" s="85"/>
      <c r="W23" s="85"/>
      <c r="X23" s="85"/>
      <c r="Z23" s="85"/>
      <c r="AA23" s="85"/>
      <c r="AB23" s="85"/>
      <c r="AC23" s="85"/>
    </row>
    <row r="24" spans="1:29" ht="18" x14ac:dyDescent="0.25">
      <c r="A24" s="20">
        <v>2016</v>
      </c>
      <c r="B24" s="21">
        <f t="shared" si="2"/>
        <v>0.97521982349185465</v>
      </c>
      <c r="C24" s="25">
        <f t="shared" si="3"/>
        <v>-0.49985491559703416</v>
      </c>
      <c r="D24" s="25">
        <f t="shared" si="4"/>
        <v>0.8652982911179663</v>
      </c>
      <c r="E24" s="25">
        <f t="shared" si="5"/>
        <v>0.92322121299616999</v>
      </c>
      <c r="F24" s="47">
        <f t="shared" si="5"/>
        <v>0.44193199371883046</v>
      </c>
      <c r="G24" s="25">
        <f t="shared" si="6"/>
        <v>1.249754981517448</v>
      </c>
      <c r="H24" s="25">
        <f t="shared" si="7"/>
        <v>1.6914229518839363</v>
      </c>
      <c r="I24" s="26">
        <f t="shared" si="8"/>
        <v>0.73872177078678103</v>
      </c>
      <c r="J24" s="26">
        <f t="shared" si="8"/>
        <v>0.26127822921321892</v>
      </c>
      <c r="K24" s="22">
        <f t="shared" si="0"/>
        <v>0.73450123056265126</v>
      </c>
      <c r="L24" s="48">
        <f t="shared" si="1"/>
        <v>0.26549876943734874</v>
      </c>
      <c r="M24" s="23">
        <v>382874.7</v>
      </c>
      <c r="N24" s="24">
        <v>375786.54671482497</v>
      </c>
      <c r="O24" s="24">
        <v>212286.1</v>
      </c>
      <c r="P24" s="24">
        <v>7381225.9000000004</v>
      </c>
      <c r="Q24" s="24">
        <v>5571868.5</v>
      </c>
      <c r="R24" s="24">
        <v>1286693.1000000001</v>
      </c>
      <c r="T24" s="83"/>
      <c r="U24" s="85"/>
      <c r="V24" s="85"/>
      <c r="W24" s="85"/>
      <c r="X24" s="85"/>
      <c r="Z24" s="85"/>
      <c r="AA24" s="85"/>
      <c r="AB24" s="85"/>
      <c r="AC24" s="85"/>
    </row>
    <row r="25" spans="1:29" ht="18" x14ac:dyDescent="0.25">
      <c r="A25" s="20">
        <v>2017</v>
      </c>
      <c r="B25" s="21">
        <f t="shared" si="2"/>
        <v>0.97328888912677602</v>
      </c>
      <c r="C25" s="25">
        <f t="shared" si="3"/>
        <v>-0.19819618815770418</v>
      </c>
      <c r="D25" s="25">
        <f t="shared" si="4"/>
        <v>1.4166785421538819</v>
      </c>
      <c r="E25" s="25">
        <f t="shared" si="5"/>
        <v>1.1889903283564063</v>
      </c>
      <c r="F25" s="47">
        <f t="shared" si="5"/>
        <v>0.42588440195517979</v>
      </c>
      <c r="G25" s="25">
        <f t="shared" si="6"/>
        <v>1.61954709896861</v>
      </c>
      <c r="H25" s="25">
        <f t="shared" si="7"/>
        <v>1.6019718995517351</v>
      </c>
      <c r="I25" s="26">
        <f t="shared" si="8"/>
        <v>0.73414989234558292</v>
      </c>
      <c r="J25" s="26">
        <f t="shared" si="8"/>
        <v>0.26585010765441708</v>
      </c>
      <c r="K25" s="22">
        <f t="shared" si="0"/>
        <v>0.73379855412851458</v>
      </c>
      <c r="L25" s="48">
        <f t="shared" si="1"/>
        <v>0.26620144587148542</v>
      </c>
      <c r="M25" s="23">
        <v>395972</v>
      </c>
      <c r="N25" s="24">
        <v>381148.12256263598</v>
      </c>
      <c r="O25" s="24">
        <v>219529.60000000001</v>
      </c>
      <c r="P25" s="24">
        <v>7501741.5999999996</v>
      </c>
      <c r="Q25" s="24">
        <v>5667791.4000000004</v>
      </c>
      <c r="R25" s="24">
        <v>1307471.5499955299</v>
      </c>
      <c r="T25" s="83"/>
      <c r="U25" s="85"/>
      <c r="V25" s="85"/>
      <c r="W25" s="85"/>
      <c r="X25" s="85"/>
      <c r="Z25" s="85"/>
      <c r="AA25" s="85"/>
      <c r="AB25" s="85"/>
      <c r="AC25" s="85"/>
    </row>
    <row r="26" spans="1:29" ht="18" x14ac:dyDescent="0.25">
      <c r="A26" s="20">
        <v>2018</v>
      </c>
      <c r="B26" s="21">
        <f t="shared" si="2"/>
        <v>0.97567116817091237</v>
      </c>
      <c r="C26" s="25">
        <f t="shared" si="3"/>
        <v>0.24446680902164369</v>
      </c>
      <c r="D26" s="25">
        <f t="shared" si="4"/>
        <v>1.9037069878649504</v>
      </c>
      <c r="E26" s="25">
        <f t="shared" si="5"/>
        <v>1.2124579896331136</v>
      </c>
      <c r="F26" s="47">
        <f t="shared" si="5"/>
        <v>0.44678218921019314</v>
      </c>
      <c r="G26" s="25">
        <f t="shared" si="6"/>
        <v>1.6557226005863512</v>
      </c>
      <c r="H26" s="25">
        <f t="shared" si="7"/>
        <v>1.6688617812821605</v>
      </c>
      <c r="I26" s="26">
        <f t="shared" si="8"/>
        <v>0.73228328779454865</v>
      </c>
      <c r="J26" s="26">
        <f t="shared" si="8"/>
        <v>0.2677167122054514</v>
      </c>
      <c r="K26" s="22">
        <f t="shared" si="0"/>
        <v>0.73076802146058262</v>
      </c>
      <c r="L26" s="48">
        <f t="shared" si="1"/>
        <v>0.26923197853941738</v>
      </c>
      <c r="M26" s="23">
        <v>410351.2</v>
      </c>
      <c r="N26" s="24">
        <v>388473.57232208998</v>
      </c>
      <c r="O26" s="24">
        <v>226729.60000000001</v>
      </c>
      <c r="P26" s="24">
        <v>7626983.5999999996</v>
      </c>
      <c r="Q26" s="24">
        <v>5766679.2000000002</v>
      </c>
      <c r="R26" s="24">
        <v>1329474.53200485</v>
      </c>
      <c r="T26" s="83"/>
      <c r="U26" s="85"/>
      <c r="V26" s="85"/>
      <c r="W26" s="85"/>
      <c r="X26" s="85"/>
      <c r="Z26" s="85"/>
      <c r="AA26" s="85"/>
      <c r="AB26" s="85"/>
      <c r="AC26" s="85"/>
    </row>
    <row r="27" spans="1:29" ht="18" x14ac:dyDescent="0.25">
      <c r="A27" s="20">
        <f>A26+1</f>
        <v>2019</v>
      </c>
      <c r="B27" s="21">
        <f t="shared" si="2"/>
        <v>0.98492777807725229</v>
      </c>
      <c r="C27" s="25">
        <f t="shared" si="3"/>
        <v>0.94427049490876924</v>
      </c>
      <c r="D27" s="25">
        <f t="shared" si="4"/>
        <v>2.5780448561640412</v>
      </c>
      <c r="E27" s="25">
        <f t="shared" si="5"/>
        <v>1.1366572000062596</v>
      </c>
      <c r="F27" s="47">
        <f t="shared" si="5"/>
        <v>0.49711716124901245</v>
      </c>
      <c r="G27" s="25">
        <f t="shared" si="6"/>
        <v>1.5615007150570293</v>
      </c>
      <c r="H27" s="25">
        <f t="shared" si="7"/>
        <v>1.8271405241167216</v>
      </c>
      <c r="I27" s="26">
        <f t="shared" si="8"/>
        <v>0.72792614761290486</v>
      </c>
      <c r="J27" s="26">
        <f t="shared" si="8"/>
        <v>0.27207385238709508</v>
      </c>
      <c r="K27" s="22">
        <f t="shared" si="0"/>
        <v>0.72508427376522722</v>
      </c>
      <c r="L27" s="48">
        <f t="shared" si="1"/>
        <v>0.27491572623477278</v>
      </c>
      <c r="M27" s="23">
        <v>429083.2</v>
      </c>
      <c r="N27" s="24">
        <v>398618.80773334397</v>
      </c>
      <c r="O27" s="24">
        <v>234996</v>
      </c>
      <c r="P27" s="24">
        <v>7747013.7000000002</v>
      </c>
      <c r="Q27" s="24">
        <v>5851467.5</v>
      </c>
      <c r="R27" s="24">
        <v>1353989.176436</v>
      </c>
      <c r="T27" s="83"/>
      <c r="U27" s="85"/>
      <c r="V27" s="85"/>
      <c r="W27" s="85"/>
      <c r="X27" s="85"/>
      <c r="Z27" s="85"/>
      <c r="AA27" s="85"/>
      <c r="AB27" s="85"/>
      <c r="AC27" s="85"/>
    </row>
    <row r="28" spans="1:29" ht="15" x14ac:dyDescent="0.25">
      <c r="A28" s="20">
        <f t="shared" ref="A28:A30" si="9">A27+1</f>
        <v>2020</v>
      </c>
      <c r="B28" s="21">
        <v>1</v>
      </c>
      <c r="C28" s="25">
        <f t="shared" si="3"/>
        <v>1.5186962247201401</v>
      </c>
      <c r="D28" s="25">
        <f t="shared" si="4"/>
        <v>-4.2945649074439984</v>
      </c>
      <c r="E28" s="25">
        <f t="shared" si="5"/>
        <v>-6.1690795972146706</v>
      </c>
      <c r="F28" s="47">
        <f t="shared" si="5"/>
        <v>0.35581846505053194</v>
      </c>
      <c r="G28" s="25">
        <f t="shared" si="6"/>
        <v>-8.5425563687753225</v>
      </c>
      <c r="H28" s="25">
        <f t="shared" si="7"/>
        <v>1.280652640534008</v>
      </c>
      <c r="I28" s="26">
        <f t="shared" si="8"/>
        <v>0.72215848873574151</v>
      </c>
      <c r="J28" s="26">
        <f t="shared" si="8"/>
        <v>0.27784151126425849</v>
      </c>
      <c r="K28" s="22">
        <f t="shared" si="0"/>
        <v>0.7192327037062558</v>
      </c>
      <c r="L28" s="48">
        <f t="shared" si="1"/>
        <v>0.2807672962937442</v>
      </c>
      <c r="M28" s="23">
        <v>417994.9</v>
      </c>
      <c r="N28" s="24">
        <v>381862.25022544101</v>
      </c>
      <c r="O28" s="24">
        <v>230892.4</v>
      </c>
      <c r="P28" s="24">
        <v>7112699.7000000002</v>
      </c>
      <c r="Q28" s="24">
        <v>5462654.0999999996</v>
      </c>
      <c r="R28" s="24">
        <v>1371440.5820074601</v>
      </c>
      <c r="U28" s="85"/>
      <c r="V28" s="85"/>
      <c r="W28" s="85"/>
      <c r="X28" s="85"/>
      <c r="Y28" s="85"/>
    </row>
    <row r="29" spans="1:29" ht="15" x14ac:dyDescent="0.25">
      <c r="A29" s="20">
        <f t="shared" si="9"/>
        <v>2021</v>
      </c>
      <c r="B29" s="21">
        <f>B28*EXP(C29/100)</f>
        <v>0.99520921653989669</v>
      </c>
      <c r="C29" s="25">
        <f t="shared" si="3"/>
        <v>-0.48022960474433063</v>
      </c>
      <c r="D29" s="25">
        <f t="shared" si="4"/>
        <v>5.5374478594615084</v>
      </c>
      <c r="E29" s="25">
        <f t="shared" si="5"/>
        <v>5.6109591997034274</v>
      </c>
      <c r="F29" s="47">
        <f t="shared" si="5"/>
        <v>0.40671826450241166</v>
      </c>
      <c r="G29" s="25">
        <f t="shared" si="6"/>
        <v>7.7871975122821624</v>
      </c>
      <c r="H29" s="25">
        <f t="shared" si="7"/>
        <v>1.4553532300329408</v>
      </c>
      <c r="I29" s="26">
        <f t="shared" si="8"/>
        <v>0.72053639205294107</v>
      </c>
      <c r="J29" s="26">
        <f t="shared" si="8"/>
        <v>0.27946360794705893</v>
      </c>
      <c r="K29" s="22">
        <f t="shared" si="0"/>
        <v>0.72184008039962633</v>
      </c>
      <c r="L29" s="48">
        <f t="shared" si="1"/>
        <v>0.27815991960037367</v>
      </c>
      <c r="M29" s="23">
        <v>452406.9</v>
      </c>
      <c r="N29" s="24">
        <v>403604.08937070402</v>
      </c>
      <c r="O29" s="24">
        <v>245676.79999999999</v>
      </c>
      <c r="P29" s="24">
        <v>7688716.4000000004</v>
      </c>
      <c r="Q29" s="24">
        <v>5784259.5999999996</v>
      </c>
      <c r="R29" s="24">
        <v>1391545.8331614099</v>
      </c>
    </row>
    <row r="30" spans="1:29" ht="15" x14ac:dyDescent="0.25">
      <c r="A30" s="20">
        <f t="shared" si="9"/>
        <v>2022</v>
      </c>
      <c r="B30" s="27">
        <f t="shared" ref="B30" si="10">B29*EXP(C30/100)</f>
        <v>1.0041011325374469</v>
      </c>
      <c r="C30" s="28">
        <f t="shared" si="3"/>
        <v>0.88950418630644368</v>
      </c>
      <c r="D30" s="25">
        <f t="shared" si="4"/>
        <v>4.4486737929695153</v>
      </c>
      <c r="E30" s="28">
        <f t="shared" si="5"/>
        <v>3.1315915027240204</v>
      </c>
      <c r="F30" s="51">
        <f t="shared" si="5"/>
        <v>0.42757810393905116</v>
      </c>
      <c r="G30" s="25">
        <f t="shared" si="6"/>
        <v>4.3910573733088043</v>
      </c>
      <c r="H30" s="25">
        <f t="shared" si="7"/>
        <v>1.4907271644409192</v>
      </c>
      <c r="I30" s="26">
        <f t="shared" si="8"/>
        <v>0.71317480881928552</v>
      </c>
      <c r="J30" s="26">
        <f t="shared" si="8"/>
        <v>0.28682519118071453</v>
      </c>
      <c r="K30" s="22">
        <f t="shared" si="0"/>
        <v>0.70450953723894461</v>
      </c>
      <c r="L30" s="48">
        <f t="shared" si="1"/>
        <v>0.29549046276105539</v>
      </c>
      <c r="M30" s="23">
        <v>508390.3</v>
      </c>
      <c r="N30" s="23">
        <v>421964.487897949</v>
      </c>
      <c r="O30" s="23">
        <v>269152</v>
      </c>
      <c r="P30" s="24">
        <v>8033854.5</v>
      </c>
      <c r="Q30" s="24">
        <v>6037226.0999999996</v>
      </c>
      <c r="R30" s="24">
        <v>1412445.3754440099</v>
      </c>
    </row>
    <row r="31" spans="1:29" ht="15" x14ac:dyDescent="0.25">
      <c r="A31" s="19" t="s">
        <v>23</v>
      </c>
    </row>
    <row r="32" spans="1:29"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834D-CE4A-49A7-990D-776B89214B02}">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28" ht="52.5" customHeight="1" x14ac:dyDescent="0.2">
      <c r="A1" s="31" t="s">
        <v>58</v>
      </c>
      <c r="B1" s="16"/>
    </row>
    <row r="2" spans="1:28" ht="100.5" customHeight="1" x14ac:dyDescent="0.2">
      <c r="A2" s="17" t="s">
        <v>142</v>
      </c>
    </row>
    <row r="3" spans="1:28" ht="409.5" customHeight="1" x14ac:dyDescent="0.2">
      <c r="A3" s="90" t="s">
        <v>134</v>
      </c>
      <c r="B3" s="16"/>
    </row>
    <row r="4" spans="1:28" ht="36.75" customHeight="1" x14ac:dyDescent="0.2">
      <c r="A4" s="17"/>
      <c r="B4" s="16"/>
    </row>
    <row r="5" spans="1:28" ht="409.5" customHeight="1" x14ac:dyDescent="0.2">
      <c r="A5" s="90" t="s">
        <v>136</v>
      </c>
      <c r="B5" s="16"/>
    </row>
    <row r="6" spans="1:28" ht="44.25" customHeight="1" x14ac:dyDescent="0.2">
      <c r="A6" s="17"/>
      <c r="B6" s="16"/>
    </row>
    <row r="7" spans="1:28" ht="120.75" customHeight="1" x14ac:dyDescent="0.2">
      <c r="A7" s="36" t="s">
        <v>4</v>
      </c>
      <c r="B7" s="16"/>
    </row>
    <row r="8" spans="1:2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28" ht="18" x14ac:dyDescent="0.25">
      <c r="A9" s="20">
        <v>2001</v>
      </c>
      <c r="B9" s="21"/>
      <c r="C9" s="25"/>
      <c r="D9" s="25"/>
      <c r="E9" s="25"/>
      <c r="F9" s="47"/>
      <c r="G9" s="25"/>
      <c r="H9" s="25"/>
      <c r="I9" s="26"/>
      <c r="J9" s="26"/>
      <c r="K9" s="22">
        <f t="shared" ref="K9:K30" si="0">O9*(P9/Q9)/M9</f>
        <v>0.55127046528916801</v>
      </c>
      <c r="L9" s="48">
        <f t="shared" ref="L9:L30" si="1">1-K9</f>
        <v>0.44872953471083199</v>
      </c>
      <c r="M9" s="23">
        <v>27291.59</v>
      </c>
      <c r="N9" s="24">
        <v>48394.6335762616</v>
      </c>
      <c r="O9" s="24">
        <v>11044.763999999999</v>
      </c>
      <c r="P9" s="24">
        <v>5310296.8109999998</v>
      </c>
      <c r="Q9" s="24">
        <v>3898357.5809999998</v>
      </c>
      <c r="R9" s="24">
        <v>281969.714236448</v>
      </c>
      <c r="U9" s="87"/>
      <c r="V9" s="86"/>
      <c r="W9" s="84"/>
      <c r="X9" s="88"/>
      <c r="Y9" s="84"/>
      <c r="Z9" s="18"/>
      <c r="AA9" s="18"/>
      <c r="AB9" s="18"/>
    </row>
    <row r="10" spans="1:28" ht="18" x14ac:dyDescent="0.25">
      <c r="A10" s="20">
        <v>2002</v>
      </c>
      <c r="B10" s="21">
        <f t="shared" ref="B10:B27" si="2">B11*EXP(-C11/100)</f>
        <v>0.66908527623880876</v>
      </c>
      <c r="C10" s="25">
        <f t="shared" ref="C10:C30" si="3">D10-E10-F10</f>
        <v>3.0898246428720411</v>
      </c>
      <c r="D10" s="25">
        <f t="shared" ref="D10:D30" si="4">(LN(N10)-LN(N9))*100</f>
        <v>7.3242646394280797</v>
      </c>
      <c r="E10" s="25">
        <f t="shared" ref="E10:F30" si="5">I10*G10</f>
        <v>0.10418202988121522</v>
      </c>
      <c r="F10" s="47">
        <f t="shared" si="5"/>
        <v>4.1302579666748231</v>
      </c>
      <c r="G10" s="25">
        <f t="shared" ref="G10:G30" si="6">(LN(P10)-LN(P9))*100</f>
        <v>0.19300228597813884</v>
      </c>
      <c r="H10" s="25">
        <f t="shared" ref="H10:H30" si="7">(LN(R10)-LN(R9))*100</f>
        <v>8.974858486985049</v>
      </c>
      <c r="I10" s="26">
        <f t="shared" ref="I10:J30" si="8">(K10+K9)/2</f>
        <v>0.53979687003819121</v>
      </c>
      <c r="J10" s="26">
        <f t="shared" si="8"/>
        <v>0.46020312996180879</v>
      </c>
      <c r="K10" s="22">
        <f t="shared" si="0"/>
        <v>0.52832327478721441</v>
      </c>
      <c r="L10" s="48">
        <f t="shared" si="1"/>
        <v>0.47167672521278559</v>
      </c>
      <c r="M10" s="23">
        <v>30312.883000000002</v>
      </c>
      <c r="N10" s="24">
        <v>52072.218764096397</v>
      </c>
      <c r="O10" s="24">
        <v>11745.995000000001</v>
      </c>
      <c r="P10" s="24">
        <v>5320555.7019999996</v>
      </c>
      <c r="Q10" s="24">
        <v>3902292.4989999998</v>
      </c>
      <c r="R10" s="24">
        <v>308446.45224709198</v>
      </c>
      <c r="U10" s="83"/>
      <c r="Z10" s="85"/>
      <c r="AA10" s="85"/>
      <c r="AB10" s="85"/>
    </row>
    <row r="11" spans="1:28" ht="18" x14ac:dyDescent="0.25">
      <c r="A11" s="20">
        <v>2003</v>
      </c>
      <c r="B11" s="21">
        <f t="shared" si="2"/>
        <v>0.68396737216710368</v>
      </c>
      <c r="C11" s="25">
        <f t="shared" si="3"/>
        <v>2.1998694750424463</v>
      </c>
      <c r="D11" s="25">
        <f t="shared" si="4"/>
        <v>4.0713010207973355</v>
      </c>
      <c r="E11" s="25">
        <f t="shared" si="5"/>
        <v>1.2066719791825282</v>
      </c>
      <c r="F11" s="47">
        <f t="shared" si="5"/>
        <v>0.66475956657236102</v>
      </c>
      <c r="G11" s="25">
        <f t="shared" si="6"/>
        <v>2.2608449445117529</v>
      </c>
      <c r="H11" s="25">
        <f t="shared" si="7"/>
        <v>1.4256847356463709</v>
      </c>
      <c r="I11" s="26">
        <f t="shared" si="8"/>
        <v>0.53372611072322718</v>
      </c>
      <c r="J11" s="26">
        <f t="shared" si="8"/>
        <v>0.46627388927677282</v>
      </c>
      <c r="K11" s="22">
        <f t="shared" si="0"/>
        <v>0.53912894665923994</v>
      </c>
      <c r="L11" s="48">
        <f t="shared" si="1"/>
        <v>0.46087105334076006</v>
      </c>
      <c r="M11" s="23">
        <v>31973.044000000002</v>
      </c>
      <c r="N11" s="24">
        <v>54235.983352479299</v>
      </c>
      <c r="O11" s="24">
        <v>12684.861999999999</v>
      </c>
      <c r="P11" s="24">
        <v>5442215.3020000001</v>
      </c>
      <c r="Q11" s="24">
        <v>4004836.8670000001</v>
      </c>
      <c r="R11" s="24">
        <v>312875.422794668</v>
      </c>
      <c r="U11" s="83"/>
      <c r="V11" s="85"/>
      <c r="W11" s="85"/>
      <c r="X11" s="85"/>
      <c r="Y11" s="85"/>
      <c r="Z11" s="85"/>
      <c r="AA11" s="85"/>
      <c r="AB11" s="85"/>
    </row>
    <row r="12" spans="1:28" ht="18" x14ac:dyDescent="0.25">
      <c r="A12" s="20">
        <v>2004</v>
      </c>
      <c r="B12" s="21">
        <f t="shared" si="2"/>
        <v>0.70967736926866765</v>
      </c>
      <c r="C12" s="25">
        <f t="shared" si="3"/>
        <v>3.6900242304620914</v>
      </c>
      <c r="D12" s="25">
        <f t="shared" si="4"/>
        <v>4.7619596876074866</v>
      </c>
      <c r="E12" s="25">
        <f t="shared" si="5"/>
        <v>2.1320311116431165</v>
      </c>
      <c r="F12" s="47">
        <f t="shared" si="5"/>
        <v>-1.0600956544977216</v>
      </c>
      <c r="G12" s="25">
        <f t="shared" si="6"/>
        <v>3.9625883862500544</v>
      </c>
      <c r="H12" s="25">
        <f t="shared" si="7"/>
        <v>-2.2947780914032379</v>
      </c>
      <c r="I12" s="26">
        <f t="shared" si="8"/>
        <v>0.53804001420918146</v>
      </c>
      <c r="J12" s="26">
        <f t="shared" si="8"/>
        <v>0.46195998579081859</v>
      </c>
      <c r="K12" s="22">
        <f t="shared" si="0"/>
        <v>0.53695108175912287</v>
      </c>
      <c r="L12" s="48">
        <f t="shared" si="1"/>
        <v>0.46304891824087713</v>
      </c>
      <c r="M12" s="23">
        <v>35284.841999999997</v>
      </c>
      <c r="N12" s="24">
        <v>56881.160308954</v>
      </c>
      <c r="O12" s="24">
        <v>13846.57</v>
      </c>
      <c r="P12" s="24">
        <v>5662197.6059999997</v>
      </c>
      <c r="Q12" s="24">
        <v>4138131.8930000002</v>
      </c>
      <c r="R12" s="24">
        <v>305777.37979031901</v>
      </c>
      <c r="U12" s="83"/>
      <c r="V12" s="85"/>
      <c r="W12" s="85"/>
      <c r="X12" s="85"/>
      <c r="Y12" s="85"/>
      <c r="Z12" s="85"/>
      <c r="AA12" s="85"/>
      <c r="AB12" s="85"/>
    </row>
    <row r="13" spans="1:28" ht="18" x14ac:dyDescent="0.25">
      <c r="A13" s="20">
        <v>2005</v>
      </c>
      <c r="B13" s="21">
        <f t="shared" si="2"/>
        <v>0.75493306227854784</v>
      </c>
      <c r="C13" s="25">
        <f t="shared" si="3"/>
        <v>6.1818628805515168</v>
      </c>
      <c r="D13" s="25">
        <f t="shared" si="4"/>
        <v>6.2555535660804296</v>
      </c>
      <c r="E13" s="25">
        <f t="shared" si="5"/>
        <v>1.2665462536277703</v>
      </c>
      <c r="F13" s="47">
        <f t="shared" si="5"/>
        <v>-1.1928555680988573</v>
      </c>
      <c r="G13" s="25">
        <f t="shared" si="6"/>
        <v>2.3600399996865917</v>
      </c>
      <c r="H13" s="25">
        <f t="shared" si="7"/>
        <v>-2.574488299278066</v>
      </c>
      <c r="I13" s="26">
        <f t="shared" si="8"/>
        <v>0.53666304545514687</v>
      </c>
      <c r="J13" s="26">
        <f t="shared" si="8"/>
        <v>0.46333695454485307</v>
      </c>
      <c r="K13" s="22">
        <f t="shared" si="0"/>
        <v>0.53637500915117098</v>
      </c>
      <c r="L13" s="48">
        <f t="shared" si="1"/>
        <v>0.46362499084882902</v>
      </c>
      <c r="M13" s="23">
        <v>39985.885000000002</v>
      </c>
      <c r="N13" s="24">
        <v>60553.042725564097</v>
      </c>
      <c r="O13" s="24">
        <v>15703.386</v>
      </c>
      <c r="P13" s="24">
        <v>5797417.0750000002</v>
      </c>
      <c r="Q13" s="24">
        <v>4244754.7580000004</v>
      </c>
      <c r="R13" s="24">
        <v>298005.647350238</v>
      </c>
      <c r="U13" s="83"/>
      <c r="V13" s="85"/>
      <c r="W13" s="85"/>
      <c r="X13" s="85"/>
      <c r="Y13" s="85"/>
      <c r="Z13" s="85"/>
      <c r="AA13" s="85"/>
      <c r="AB13" s="85"/>
    </row>
    <row r="14" spans="1:28" ht="18" x14ac:dyDescent="0.25">
      <c r="A14" s="20">
        <v>2006</v>
      </c>
      <c r="B14" s="21">
        <f t="shared" si="2"/>
        <v>0.78116568130128972</v>
      </c>
      <c r="C14" s="25">
        <f t="shared" si="3"/>
        <v>3.41581812067724</v>
      </c>
      <c r="D14" s="25">
        <f t="shared" si="4"/>
        <v>6.9006694845320737</v>
      </c>
      <c r="E14" s="25">
        <f t="shared" si="5"/>
        <v>1.5941319775721425</v>
      </c>
      <c r="F14" s="47">
        <f t="shared" si="5"/>
        <v>1.8907193862826914</v>
      </c>
      <c r="G14" s="25">
        <f t="shared" si="6"/>
        <v>3.0118814309174624</v>
      </c>
      <c r="H14" s="25">
        <f t="shared" si="7"/>
        <v>4.0166635911468518</v>
      </c>
      <c r="I14" s="26">
        <f t="shared" si="8"/>
        <v>0.52928112016897921</v>
      </c>
      <c r="J14" s="26">
        <f t="shared" si="8"/>
        <v>0.47071887983102079</v>
      </c>
      <c r="K14" s="22">
        <f t="shared" si="0"/>
        <v>0.52218723118678745</v>
      </c>
      <c r="L14" s="48">
        <f t="shared" si="1"/>
        <v>0.47781276881321255</v>
      </c>
      <c r="M14" s="23">
        <v>45249.165000000001</v>
      </c>
      <c r="N14" s="24">
        <v>64879.156904742304</v>
      </c>
      <c r="O14" s="24">
        <v>17407.294000000002</v>
      </c>
      <c r="P14" s="24">
        <v>5974684.5460000001</v>
      </c>
      <c r="Q14" s="24">
        <v>4401588.3859999999</v>
      </c>
      <c r="R14" s="24">
        <v>310219.17788099602</v>
      </c>
      <c r="U14" s="83"/>
      <c r="V14" s="85"/>
      <c r="W14" s="85"/>
      <c r="X14" s="85"/>
      <c r="Y14" s="85"/>
      <c r="Z14" s="85"/>
      <c r="AA14" s="85"/>
      <c r="AB14" s="85"/>
    </row>
    <row r="15" spans="1:28" ht="18" x14ac:dyDescent="0.25">
      <c r="A15" s="20">
        <v>2007</v>
      </c>
      <c r="B15" s="21">
        <f t="shared" si="2"/>
        <v>0.82601971935035801</v>
      </c>
      <c r="C15" s="25">
        <f t="shared" si="3"/>
        <v>5.5831379249909912</v>
      </c>
      <c r="D15" s="25">
        <f t="shared" si="4"/>
        <v>6.3429297493557968</v>
      </c>
      <c r="E15" s="25">
        <f t="shared" si="5"/>
        <v>1.6264016152199943</v>
      </c>
      <c r="F15" s="47">
        <f t="shared" si="5"/>
        <v>-0.86660979085518852</v>
      </c>
      <c r="G15" s="25">
        <f t="shared" si="6"/>
        <v>3.1514265784030826</v>
      </c>
      <c r="H15" s="25">
        <f t="shared" si="7"/>
        <v>-1.7908278185197801</v>
      </c>
      <c r="I15" s="26">
        <f t="shared" si="8"/>
        <v>0.5160842478025105</v>
      </c>
      <c r="J15" s="26">
        <f t="shared" si="8"/>
        <v>0.48391575219748945</v>
      </c>
      <c r="K15" s="22">
        <f t="shared" si="0"/>
        <v>0.50998126441823366</v>
      </c>
      <c r="L15" s="48">
        <f t="shared" si="1"/>
        <v>0.49001873558176634</v>
      </c>
      <c r="M15" s="23">
        <v>53865.637999999999</v>
      </c>
      <c r="N15" s="24">
        <v>69127.7133952648</v>
      </c>
      <c r="O15" s="24">
        <v>20425.073004000002</v>
      </c>
      <c r="P15" s="24">
        <v>6165970.6320000002</v>
      </c>
      <c r="Q15" s="24">
        <v>4584574.557</v>
      </c>
      <c r="R15" s="24">
        <v>304713.13556501002</v>
      </c>
      <c r="U15" s="83"/>
      <c r="V15" s="85"/>
      <c r="W15" s="85"/>
      <c r="X15" s="85"/>
      <c r="Y15" s="85"/>
      <c r="Z15" s="85"/>
      <c r="AA15" s="85"/>
      <c r="AB15" s="85"/>
    </row>
    <row r="16" spans="1:28" ht="18" x14ac:dyDescent="0.25">
      <c r="A16" s="20">
        <v>2008</v>
      </c>
      <c r="B16" s="21">
        <f t="shared" si="2"/>
        <v>0.82866092714941852</v>
      </c>
      <c r="C16" s="25">
        <f t="shared" si="3"/>
        <v>0.31924106295675125</v>
      </c>
      <c r="D16" s="25">
        <f t="shared" si="4"/>
        <v>5.9696881957048475</v>
      </c>
      <c r="E16" s="25">
        <f t="shared" si="5"/>
        <v>2.4306355896987819</v>
      </c>
      <c r="F16" s="47">
        <f t="shared" si="5"/>
        <v>3.2198115430493144</v>
      </c>
      <c r="G16" s="25">
        <f t="shared" si="6"/>
        <v>4.6657464926928682</v>
      </c>
      <c r="H16" s="25">
        <f t="shared" si="7"/>
        <v>6.7212881445794181</v>
      </c>
      <c r="I16" s="26">
        <f t="shared" si="8"/>
        <v>0.52095320513136656</v>
      </c>
      <c r="J16" s="26">
        <f t="shared" si="8"/>
        <v>0.47904679486863344</v>
      </c>
      <c r="K16" s="22">
        <f t="shared" si="0"/>
        <v>0.53192514584449946</v>
      </c>
      <c r="L16" s="48">
        <f t="shared" si="1"/>
        <v>0.46807485415550054</v>
      </c>
      <c r="M16" s="23">
        <v>61247.218000000001</v>
      </c>
      <c r="N16" s="24">
        <v>73380.086262623896</v>
      </c>
      <c r="O16" s="24">
        <v>24431.264176000001</v>
      </c>
      <c r="P16" s="24">
        <v>6460476.2079999996</v>
      </c>
      <c r="Q16" s="24">
        <v>4844774.6730000004</v>
      </c>
      <c r="R16" s="24">
        <v>325897.74819981097</v>
      </c>
      <c r="U16" s="83"/>
      <c r="V16" s="85"/>
      <c r="W16" s="85"/>
      <c r="X16" s="85"/>
      <c r="Y16" s="85"/>
      <c r="Z16" s="85"/>
      <c r="AA16" s="85"/>
      <c r="AB16" s="85"/>
    </row>
    <row r="17" spans="1:28" ht="18" x14ac:dyDescent="0.25">
      <c r="A17" s="20">
        <v>2009</v>
      </c>
      <c r="B17" s="21">
        <f t="shared" si="2"/>
        <v>0.80705199436049702</v>
      </c>
      <c r="C17" s="25">
        <f t="shared" si="3"/>
        <v>-2.6422961781459868</v>
      </c>
      <c r="D17" s="25">
        <f t="shared" si="4"/>
        <v>-0.86231688248421534</v>
      </c>
      <c r="E17" s="25">
        <f t="shared" si="5"/>
        <v>-2.4660578635495396</v>
      </c>
      <c r="F17" s="47">
        <f t="shared" si="5"/>
        <v>4.2460371592113111</v>
      </c>
      <c r="G17" s="25">
        <f t="shared" si="6"/>
        <v>-4.5618526456998154</v>
      </c>
      <c r="H17" s="25">
        <f t="shared" si="7"/>
        <v>9.2422197122823846</v>
      </c>
      <c r="I17" s="26">
        <f t="shared" si="8"/>
        <v>0.54058253413207991</v>
      </c>
      <c r="J17" s="26">
        <f t="shared" si="8"/>
        <v>0.45941746586792009</v>
      </c>
      <c r="K17" s="22">
        <f t="shared" si="0"/>
        <v>0.54923992241966035</v>
      </c>
      <c r="L17" s="48">
        <f t="shared" si="1"/>
        <v>0.45076007758033965</v>
      </c>
      <c r="M17" s="23">
        <v>63592.186999999998</v>
      </c>
      <c r="N17" s="24">
        <v>72750.037801668193</v>
      </c>
      <c r="O17" s="24">
        <v>25850.670306</v>
      </c>
      <c r="P17" s="24">
        <v>6172380.0250000004</v>
      </c>
      <c r="Q17" s="24">
        <v>4568341.9859999996</v>
      </c>
      <c r="R17" s="24">
        <v>357453.71079621301</v>
      </c>
      <c r="U17" s="83"/>
      <c r="V17" s="85"/>
      <c r="W17" s="85"/>
      <c r="X17" s="85"/>
      <c r="Y17" s="85"/>
      <c r="Z17" s="85"/>
      <c r="AA17" s="85"/>
      <c r="AB17" s="85"/>
    </row>
    <row r="18" spans="1:28" ht="18" x14ac:dyDescent="0.25">
      <c r="A18" s="20">
        <v>2010</v>
      </c>
      <c r="B18" s="21">
        <f t="shared" si="2"/>
        <v>0.82960372379267855</v>
      </c>
      <c r="C18" s="25">
        <f t="shared" si="3"/>
        <v>2.756005017601554</v>
      </c>
      <c r="D18" s="25">
        <f t="shared" si="4"/>
        <v>1.8133117942850774</v>
      </c>
      <c r="E18" s="25">
        <f t="shared" si="5"/>
        <v>-2.2513650493437614</v>
      </c>
      <c r="F18" s="47">
        <f t="shared" si="5"/>
        <v>1.3086718260272843</v>
      </c>
      <c r="G18" s="25">
        <f t="shared" si="6"/>
        <v>-4.0428814553150616</v>
      </c>
      <c r="H18" s="25">
        <f t="shared" si="7"/>
        <v>2.9532551523972828</v>
      </c>
      <c r="I18" s="26">
        <f t="shared" si="8"/>
        <v>0.55687139833990318</v>
      </c>
      <c r="J18" s="26">
        <f t="shared" si="8"/>
        <v>0.44312860166009688</v>
      </c>
      <c r="K18" s="22">
        <f t="shared" si="0"/>
        <v>0.56450287426014589</v>
      </c>
      <c r="L18" s="48">
        <f t="shared" si="1"/>
        <v>0.43549712573985411</v>
      </c>
      <c r="M18" s="23">
        <v>65367.324000000001</v>
      </c>
      <c r="N18" s="24">
        <v>74081.255908661798</v>
      </c>
      <c r="O18" s="24">
        <v>27170.777026</v>
      </c>
      <c r="P18" s="24">
        <v>5927815.0640000002</v>
      </c>
      <c r="Q18" s="24">
        <v>4364855.1979999999</v>
      </c>
      <c r="R18" s="24">
        <v>368167.65732805501</v>
      </c>
      <c r="U18" s="83"/>
      <c r="V18" s="85"/>
      <c r="W18" s="85"/>
      <c r="X18" s="85"/>
      <c r="Y18" s="85"/>
      <c r="Z18" s="85"/>
      <c r="AA18" s="85"/>
      <c r="AB18" s="85"/>
    </row>
    <row r="19" spans="1:28" ht="18" x14ac:dyDescent="0.25">
      <c r="A19" s="20">
        <v>2011</v>
      </c>
      <c r="B19" s="21">
        <f t="shared" si="2"/>
        <v>0.85633911854002021</v>
      </c>
      <c r="C19" s="25">
        <f t="shared" si="3"/>
        <v>3.1718318641565197</v>
      </c>
      <c r="D19" s="25">
        <f t="shared" si="4"/>
        <v>1.8828097261639698</v>
      </c>
      <c r="E19" s="25">
        <f t="shared" si="5"/>
        <v>-1.276129553314868</v>
      </c>
      <c r="F19" s="47">
        <f t="shared" si="5"/>
        <v>-1.2892584677681984E-2</v>
      </c>
      <c r="G19" s="25">
        <f t="shared" si="6"/>
        <v>-2.3018429691134656</v>
      </c>
      <c r="H19" s="25">
        <f t="shared" si="7"/>
        <v>-2.8932745674303817E-2</v>
      </c>
      <c r="I19" s="26">
        <f t="shared" si="8"/>
        <v>0.55439470478142905</v>
      </c>
      <c r="J19" s="26">
        <f t="shared" si="8"/>
        <v>0.44560529521857095</v>
      </c>
      <c r="K19" s="22">
        <f t="shared" si="0"/>
        <v>0.5442865353027122</v>
      </c>
      <c r="L19" s="48">
        <f t="shared" si="1"/>
        <v>0.4557134646972878</v>
      </c>
      <c r="M19" s="23">
        <v>70808.652000000002</v>
      </c>
      <c r="N19" s="24">
        <v>75489.278599491096</v>
      </c>
      <c r="O19" s="24">
        <v>28562.314254000001</v>
      </c>
      <c r="P19" s="24">
        <v>5792924.5099999998</v>
      </c>
      <c r="Q19" s="24">
        <v>4293162.6730000004</v>
      </c>
      <c r="R19" s="24">
        <v>368061.15172434598</v>
      </c>
      <c r="U19" s="83"/>
      <c r="V19" s="85"/>
      <c r="W19" s="85"/>
      <c r="X19" s="85"/>
      <c r="Y19" s="85"/>
      <c r="Z19" s="85"/>
      <c r="AA19" s="85"/>
      <c r="AB19" s="85"/>
    </row>
    <row r="20" spans="1:28" ht="18" x14ac:dyDescent="0.25">
      <c r="A20" s="20">
        <v>2012</v>
      </c>
      <c r="B20" s="21">
        <f t="shared" si="2"/>
        <v>0.86988832423299689</v>
      </c>
      <c r="C20" s="25">
        <f t="shared" si="3"/>
        <v>1.569837625160077</v>
      </c>
      <c r="D20" s="25">
        <f t="shared" si="4"/>
        <v>0.25261712839341754</v>
      </c>
      <c r="E20" s="25">
        <f t="shared" si="5"/>
        <v>-1.3738015760793127</v>
      </c>
      <c r="F20" s="47">
        <f t="shared" si="5"/>
        <v>5.6581079312653285E-2</v>
      </c>
      <c r="G20" s="25">
        <f t="shared" si="6"/>
        <v>-2.4809836770323557</v>
      </c>
      <c r="H20" s="25">
        <f t="shared" si="7"/>
        <v>0.12678739484925927</v>
      </c>
      <c r="I20" s="26">
        <f t="shared" si="8"/>
        <v>0.55373261371981064</v>
      </c>
      <c r="J20" s="26">
        <f t="shared" si="8"/>
        <v>0.44626738628018942</v>
      </c>
      <c r="K20" s="22">
        <f t="shared" si="0"/>
        <v>0.56317869213690896</v>
      </c>
      <c r="L20" s="48">
        <f t="shared" si="1"/>
        <v>0.43682130786309104</v>
      </c>
      <c r="M20" s="23">
        <v>71895.77</v>
      </c>
      <c r="N20" s="24">
        <v>75680.218519264294</v>
      </c>
      <c r="O20" s="24">
        <v>30213.851999999999</v>
      </c>
      <c r="P20" s="24">
        <v>5650971.199</v>
      </c>
      <c r="Q20" s="24">
        <v>4216767.3169999998</v>
      </c>
      <c r="R20" s="24">
        <v>368528.10282508499</v>
      </c>
      <c r="U20" s="83"/>
      <c r="V20" s="85"/>
      <c r="W20" s="85"/>
      <c r="X20" s="85"/>
      <c r="Y20" s="85"/>
      <c r="Z20" s="85"/>
      <c r="AA20" s="85"/>
      <c r="AB20" s="85"/>
    </row>
    <row r="21" spans="1:28" ht="18" x14ac:dyDescent="0.25">
      <c r="A21" s="20">
        <v>2013</v>
      </c>
      <c r="B21" s="21">
        <f t="shared" si="2"/>
        <v>0.85701949326559357</v>
      </c>
      <c r="C21" s="25">
        <f t="shared" si="3"/>
        <v>-1.4904176185546163</v>
      </c>
      <c r="D21" s="25">
        <f t="shared" si="4"/>
        <v>-1.6616440837893265</v>
      </c>
      <c r="E21" s="25">
        <f t="shared" si="5"/>
        <v>-0.23617284019740115</v>
      </c>
      <c r="F21" s="47">
        <f t="shared" si="5"/>
        <v>6.4946374962690984E-2</v>
      </c>
      <c r="G21" s="25">
        <f t="shared" si="6"/>
        <v>-0.39970186587598988</v>
      </c>
      <c r="H21" s="25">
        <f t="shared" si="7"/>
        <v>0.15874360619925199</v>
      </c>
      <c r="I21" s="26">
        <f t="shared" si="8"/>
        <v>0.59087249863045499</v>
      </c>
      <c r="J21" s="26">
        <f t="shared" si="8"/>
        <v>0.40912750136954507</v>
      </c>
      <c r="K21" s="22">
        <f t="shared" si="0"/>
        <v>0.6185663051240009</v>
      </c>
      <c r="L21" s="48">
        <f t="shared" si="1"/>
        <v>0.3814336948759991</v>
      </c>
      <c r="M21" s="23">
        <v>70913.25</v>
      </c>
      <c r="N21" s="24">
        <v>74433.072901570995</v>
      </c>
      <c r="O21" s="24">
        <v>32499.386856000001</v>
      </c>
      <c r="P21" s="24">
        <v>5628429.2419999996</v>
      </c>
      <c r="Q21" s="24">
        <v>4170121.6970000002</v>
      </c>
      <c r="R21" s="24">
        <v>369113.582207962</v>
      </c>
      <c r="U21" s="83"/>
      <c r="V21" s="85"/>
      <c r="W21" s="85"/>
      <c r="X21" s="85"/>
      <c r="Y21" s="85"/>
      <c r="Z21" s="85"/>
      <c r="AA21" s="85"/>
      <c r="AB21" s="85"/>
    </row>
    <row r="22" spans="1:28" ht="18" x14ac:dyDescent="0.25">
      <c r="A22" s="20">
        <v>2014</v>
      </c>
      <c r="B22" s="21">
        <f t="shared" si="2"/>
        <v>0.86290528463397198</v>
      </c>
      <c r="C22" s="25">
        <f t="shared" si="3"/>
        <v>0.68442694938417958</v>
      </c>
      <c r="D22" s="25">
        <f t="shared" si="4"/>
        <v>0.95687368309036458</v>
      </c>
      <c r="E22" s="25">
        <f t="shared" si="5"/>
        <v>0.19542510842622107</v>
      </c>
      <c r="F22" s="47">
        <f t="shared" si="5"/>
        <v>7.7021625279963965E-2</v>
      </c>
      <c r="G22" s="25">
        <f t="shared" si="6"/>
        <v>0.31130755484092276</v>
      </c>
      <c r="H22" s="25">
        <f t="shared" si="7"/>
        <v>0.20691152609924046</v>
      </c>
      <c r="I22" s="26">
        <f t="shared" si="8"/>
        <v>0.62775575275094986</v>
      </c>
      <c r="J22" s="26">
        <f t="shared" si="8"/>
        <v>0.3722442472490502</v>
      </c>
      <c r="K22" s="22">
        <f t="shared" si="0"/>
        <v>0.6369452003778987</v>
      </c>
      <c r="L22" s="48">
        <f t="shared" si="1"/>
        <v>0.3630547996221013</v>
      </c>
      <c r="M22" s="23">
        <v>72982.207999999999</v>
      </c>
      <c r="N22" s="24">
        <v>75148.7218554969</v>
      </c>
      <c r="O22" s="24">
        <v>34250.218999999997</v>
      </c>
      <c r="P22" s="24">
        <v>5645978.2690000003</v>
      </c>
      <c r="Q22" s="24">
        <v>4159905.7140000002</v>
      </c>
      <c r="R22" s="24">
        <v>369878.11143072799</v>
      </c>
      <c r="U22" s="83"/>
      <c r="V22" s="85"/>
      <c r="W22" s="85"/>
      <c r="X22" s="85"/>
      <c r="Y22" s="85"/>
      <c r="Z22" s="85"/>
      <c r="AA22" s="85"/>
      <c r="AB22" s="85"/>
    </row>
    <row r="23" spans="1:28" ht="18" x14ac:dyDescent="0.25">
      <c r="A23" s="20">
        <v>2015</v>
      </c>
      <c r="B23" s="21">
        <f t="shared" si="2"/>
        <v>0.88531721470268998</v>
      </c>
      <c r="C23" s="25">
        <f t="shared" si="3"/>
        <v>2.5641081710747859</v>
      </c>
      <c r="D23" s="25">
        <f t="shared" si="4"/>
        <v>2.9005603382733725</v>
      </c>
      <c r="E23" s="25">
        <f t="shared" si="5"/>
        <v>0.23560540400563401</v>
      </c>
      <c r="F23" s="47">
        <f t="shared" si="5"/>
        <v>0.10084676319295247</v>
      </c>
      <c r="G23" s="25">
        <f t="shared" si="6"/>
        <v>0.36981877178998701</v>
      </c>
      <c r="H23" s="25">
        <f t="shared" si="7"/>
        <v>0.27787862504826677</v>
      </c>
      <c r="I23" s="26">
        <f t="shared" si="8"/>
        <v>0.63708340943663566</v>
      </c>
      <c r="J23" s="26">
        <f t="shared" si="8"/>
        <v>0.36291659056336434</v>
      </c>
      <c r="K23" s="22">
        <f t="shared" si="0"/>
        <v>0.63722161849537262</v>
      </c>
      <c r="L23" s="48">
        <f t="shared" si="1"/>
        <v>0.36277838150462738</v>
      </c>
      <c r="M23" s="23">
        <v>77360.376000000004</v>
      </c>
      <c r="N23" s="24">
        <v>77360.376000000004</v>
      </c>
      <c r="O23" s="24">
        <v>36538.023999999998</v>
      </c>
      <c r="P23" s="24">
        <v>5666896.8130000001</v>
      </c>
      <c r="Q23" s="24">
        <v>4200309.4579999996</v>
      </c>
      <c r="R23" s="24">
        <v>370907.353</v>
      </c>
      <c r="U23" s="83"/>
      <c r="V23" s="85"/>
      <c r="W23" s="85"/>
      <c r="X23" s="85"/>
      <c r="Y23" s="85"/>
      <c r="Z23" s="85"/>
      <c r="AA23" s="85"/>
      <c r="AB23" s="85"/>
    </row>
    <row r="24" spans="1:28" ht="18" x14ac:dyDescent="0.25">
      <c r="A24" s="20">
        <v>2016</v>
      </c>
      <c r="B24" s="21">
        <f t="shared" si="2"/>
        <v>0.90604011380417904</v>
      </c>
      <c r="C24" s="25">
        <f t="shared" si="3"/>
        <v>2.3137565307024319</v>
      </c>
      <c r="D24" s="25">
        <f t="shared" si="4"/>
        <v>2.5442783799462632</v>
      </c>
      <c r="E24" s="25">
        <f t="shared" si="5"/>
        <v>0.28399154586109676</v>
      </c>
      <c r="F24" s="47">
        <f t="shared" si="5"/>
        <v>-5.3469696617265278E-2</v>
      </c>
      <c r="G24" s="25">
        <f t="shared" si="6"/>
        <v>0.44516442744484408</v>
      </c>
      <c r="H24" s="25">
        <f t="shared" si="7"/>
        <v>-0.14768493710839437</v>
      </c>
      <c r="I24" s="26">
        <f t="shared" si="8"/>
        <v>0.63794752759368523</v>
      </c>
      <c r="J24" s="26">
        <f t="shared" si="8"/>
        <v>0.36205247240631472</v>
      </c>
      <c r="K24" s="22">
        <f t="shared" si="0"/>
        <v>0.63867343669199794</v>
      </c>
      <c r="L24" s="48">
        <f t="shared" si="1"/>
        <v>0.36132656330800206</v>
      </c>
      <c r="M24" s="23">
        <v>82103.244000000006</v>
      </c>
      <c r="N24" s="24">
        <v>79353.892082278893</v>
      </c>
      <c r="O24" s="24">
        <v>39347.726999999999</v>
      </c>
      <c r="P24" s="24">
        <v>5692180.0559999999</v>
      </c>
      <c r="Q24" s="24">
        <v>4271290.4850000003</v>
      </c>
      <c r="R24" s="24">
        <v>370359.98300000001</v>
      </c>
      <c r="U24" s="83"/>
      <c r="V24" s="85"/>
      <c r="W24" s="85"/>
      <c r="X24" s="85"/>
      <c r="Y24" s="85"/>
      <c r="Z24" s="85"/>
      <c r="AA24" s="85"/>
      <c r="AB24" s="85"/>
    </row>
    <row r="25" spans="1:28" ht="18" x14ac:dyDescent="0.25">
      <c r="A25" s="20">
        <v>2017</v>
      </c>
      <c r="B25" s="21">
        <f t="shared" si="2"/>
        <v>0.92566797270025247</v>
      </c>
      <c r="C25" s="25">
        <f t="shared" si="3"/>
        <v>2.1432028764131981</v>
      </c>
      <c r="D25" s="25">
        <f t="shared" si="4"/>
        <v>3.2283814303934122</v>
      </c>
      <c r="E25" s="25">
        <f t="shared" si="5"/>
        <v>1.1476265713661959</v>
      </c>
      <c r="F25" s="47">
        <f t="shared" si="5"/>
        <v>-6.2448017385981679E-2</v>
      </c>
      <c r="G25" s="25">
        <f t="shared" si="6"/>
        <v>1.7567297134572613</v>
      </c>
      <c r="H25" s="25">
        <f t="shared" si="7"/>
        <v>-0.18010789980795749</v>
      </c>
      <c r="I25" s="26">
        <f t="shared" si="8"/>
        <v>0.65327441243516948</v>
      </c>
      <c r="J25" s="26">
        <f t="shared" si="8"/>
        <v>0.34672558756483046</v>
      </c>
      <c r="K25" s="22">
        <f t="shared" si="0"/>
        <v>0.66787538817834113</v>
      </c>
      <c r="L25" s="48">
        <f t="shared" si="1"/>
        <v>0.33212461182165887</v>
      </c>
      <c r="M25" s="23">
        <v>88298.251999999993</v>
      </c>
      <c r="N25" s="24">
        <v>81957.540110694303</v>
      </c>
      <c r="O25" s="24">
        <v>43620.063999999998</v>
      </c>
      <c r="P25" s="24">
        <v>5793059.7719999999</v>
      </c>
      <c r="Q25" s="24">
        <v>4284959.9019999998</v>
      </c>
      <c r="R25" s="24">
        <v>369693.53575511399</v>
      </c>
      <c r="U25" s="83"/>
      <c r="V25" s="85"/>
      <c r="W25" s="85"/>
      <c r="X25" s="85"/>
      <c r="Y25" s="85"/>
      <c r="Z25" s="85"/>
      <c r="AA25" s="85"/>
      <c r="AB25" s="85"/>
    </row>
    <row r="26" spans="1:28" ht="18" x14ac:dyDescent="0.25">
      <c r="A26" s="20">
        <v>2018</v>
      </c>
      <c r="B26" s="21">
        <f t="shared" si="2"/>
        <v>0.95571583605699717</v>
      </c>
      <c r="C26" s="25">
        <f t="shared" si="3"/>
        <v>3.1945016698832056</v>
      </c>
      <c r="D26" s="25">
        <f t="shared" si="4"/>
        <v>3.2680952320886192</v>
      </c>
      <c r="E26" s="25">
        <f t="shared" si="5"/>
        <v>-1.710880875413175E-2</v>
      </c>
      <c r="F26" s="47">
        <f t="shared" si="5"/>
        <v>9.0702370959545128E-2</v>
      </c>
      <c r="G26" s="25">
        <f t="shared" si="6"/>
        <v>-2.5393951134944359E-2</v>
      </c>
      <c r="H26" s="25">
        <f t="shared" si="7"/>
        <v>0.27800265464410501</v>
      </c>
      <c r="I26" s="26">
        <f t="shared" si="8"/>
        <v>0.67373559408754202</v>
      </c>
      <c r="J26" s="26">
        <f t="shared" si="8"/>
        <v>0.32626440591245792</v>
      </c>
      <c r="K26" s="22">
        <f t="shared" si="0"/>
        <v>0.67959579999674302</v>
      </c>
      <c r="L26" s="48">
        <f t="shared" si="1"/>
        <v>0.32040420000325698</v>
      </c>
      <c r="M26" s="23">
        <v>95095.47</v>
      </c>
      <c r="N26" s="24">
        <v>84680.238432440994</v>
      </c>
      <c r="O26" s="24">
        <v>48238.052000000003</v>
      </c>
      <c r="P26" s="24">
        <v>5791588.8720000004</v>
      </c>
      <c r="Q26" s="24">
        <v>4322917.7340000002</v>
      </c>
      <c r="R26" s="24">
        <v>370722.72352037102</v>
      </c>
      <c r="U26" s="83"/>
      <c r="V26" s="85"/>
      <c r="W26" s="85"/>
      <c r="X26" s="85"/>
      <c r="Y26" s="85"/>
      <c r="Z26" s="85"/>
      <c r="AA26" s="85"/>
      <c r="AB26" s="85"/>
    </row>
    <row r="27" spans="1:28" ht="18" x14ac:dyDescent="0.25">
      <c r="A27" s="20">
        <f>A26+1</f>
        <v>2019</v>
      </c>
      <c r="B27" s="21">
        <f t="shared" si="2"/>
        <v>0.99630017741514409</v>
      </c>
      <c r="C27" s="25">
        <f t="shared" si="3"/>
        <v>4.1587968876958321</v>
      </c>
      <c r="D27" s="25">
        <f t="shared" si="4"/>
        <v>3.37867831827392</v>
      </c>
      <c r="E27" s="25">
        <f t="shared" si="5"/>
        <v>-0.92306187934597661</v>
      </c>
      <c r="F27" s="47">
        <f t="shared" si="5"/>
        <v>0.14294330992406384</v>
      </c>
      <c r="G27" s="25">
        <f t="shared" si="6"/>
        <v>-1.3795788962278621</v>
      </c>
      <c r="H27" s="25">
        <f t="shared" si="7"/>
        <v>0.43196982026021402</v>
      </c>
      <c r="I27" s="26">
        <f t="shared" si="8"/>
        <v>0.66908959093957932</v>
      </c>
      <c r="J27" s="26">
        <f t="shared" si="8"/>
        <v>0.33091040906042074</v>
      </c>
      <c r="K27" s="22">
        <f t="shared" si="0"/>
        <v>0.6585833818824155</v>
      </c>
      <c r="L27" s="48">
        <f t="shared" si="1"/>
        <v>0.3414166181175845</v>
      </c>
      <c r="M27" s="23">
        <v>103463.04700000001</v>
      </c>
      <c r="N27" s="24">
        <v>87590.193482864197</v>
      </c>
      <c r="O27" s="24">
        <v>52371.156000000003</v>
      </c>
      <c r="P27" s="24">
        <v>5712237.9469999997</v>
      </c>
      <c r="Q27" s="24">
        <v>4390383.1009999998</v>
      </c>
      <c r="R27" s="24">
        <v>372327.597593099</v>
      </c>
      <c r="U27" s="83"/>
      <c r="V27" s="85"/>
      <c r="W27" s="85"/>
      <c r="X27" s="85"/>
      <c r="Y27" s="85"/>
      <c r="Z27" s="85"/>
      <c r="AA27" s="85"/>
      <c r="AB27" s="85"/>
    </row>
    <row r="28" spans="1:28" ht="18" x14ac:dyDescent="0.25">
      <c r="A28" s="20">
        <f t="shared" ref="A28:A30" si="9">A27+1</f>
        <v>2020</v>
      </c>
      <c r="B28" s="21">
        <v>1</v>
      </c>
      <c r="C28" s="25">
        <f t="shared" si="3"/>
        <v>0.37066838573243543</v>
      </c>
      <c r="D28" s="25">
        <f t="shared" si="4"/>
        <v>-3.1824511055567939</v>
      </c>
      <c r="E28" s="25">
        <f t="shared" si="5"/>
        <v>-2.7706788953479742</v>
      </c>
      <c r="F28" s="47">
        <f t="shared" si="5"/>
        <v>-0.78244059594125515</v>
      </c>
      <c r="G28" s="25">
        <f t="shared" si="6"/>
        <v>-4.1373876888586736</v>
      </c>
      <c r="H28" s="25">
        <f t="shared" si="7"/>
        <v>-2.3686538817058178</v>
      </c>
      <c r="I28" s="26">
        <f t="shared" si="8"/>
        <v>0.66966866624778032</v>
      </c>
      <c r="J28" s="26">
        <f t="shared" si="8"/>
        <v>0.33033133375221968</v>
      </c>
      <c r="K28" s="22">
        <f t="shared" si="0"/>
        <v>0.68075395061314514</v>
      </c>
      <c r="L28" s="48">
        <f t="shared" si="1"/>
        <v>0.31924604938685486</v>
      </c>
      <c r="M28" s="23">
        <v>105113.98299999999</v>
      </c>
      <c r="N28" s="24">
        <v>84846.567241861703</v>
      </c>
      <c r="O28" s="24">
        <v>54575.239000000001</v>
      </c>
      <c r="P28" s="24">
        <v>5480722.8799999999</v>
      </c>
      <c r="Q28" s="24">
        <v>4180062.9939999999</v>
      </c>
      <c r="R28" s="24">
        <v>363612.073287245</v>
      </c>
      <c r="U28" s="83"/>
      <c r="V28" s="85"/>
      <c r="W28" s="85"/>
      <c r="X28" s="85"/>
      <c r="Y28" s="85"/>
      <c r="Z28" s="85"/>
      <c r="AA28" s="85"/>
      <c r="AB28" s="85"/>
    </row>
    <row r="29" spans="1:28" ht="15" x14ac:dyDescent="0.25">
      <c r="A29" s="20">
        <f t="shared" si="9"/>
        <v>2021</v>
      </c>
      <c r="B29" s="21">
        <f>B28*EXP(C29/100)</f>
        <v>1.1039327294535637</v>
      </c>
      <c r="C29" s="25">
        <f t="shared" si="3"/>
        <v>9.8879012532409583</v>
      </c>
      <c r="D29" s="25">
        <f t="shared" si="4"/>
        <v>7.8218305926320397</v>
      </c>
      <c r="E29" s="25">
        <f t="shared" si="5"/>
        <v>0.52338244035453918</v>
      </c>
      <c r="F29" s="47">
        <f t="shared" si="5"/>
        <v>-2.5894531009634569</v>
      </c>
      <c r="G29" s="25">
        <f t="shared" si="6"/>
        <v>0.78479016185468708</v>
      </c>
      <c r="H29" s="25">
        <f t="shared" si="7"/>
        <v>-7.7739758663520675</v>
      </c>
      <c r="I29" s="26">
        <f t="shared" si="8"/>
        <v>0.66690749424997176</v>
      </c>
      <c r="J29" s="26">
        <f t="shared" si="8"/>
        <v>0.33309250575002824</v>
      </c>
      <c r="K29" s="22">
        <f t="shared" si="0"/>
        <v>0.65306103788679837</v>
      </c>
      <c r="L29" s="48">
        <f t="shared" si="1"/>
        <v>0.34693896211320163</v>
      </c>
      <c r="M29" s="23">
        <v>122170.398</v>
      </c>
      <c r="N29" s="24">
        <v>91749.573645098004</v>
      </c>
      <c r="O29" s="24">
        <v>61327.707129000002</v>
      </c>
      <c r="P29" s="24">
        <v>5523904.2740000002</v>
      </c>
      <c r="Q29" s="24">
        <v>4246030.4950000001</v>
      </c>
      <c r="R29" s="24">
        <v>336415.770751253</v>
      </c>
    </row>
    <row r="30" spans="1:28" ht="15" x14ac:dyDescent="0.25">
      <c r="A30" s="20">
        <f t="shared" si="9"/>
        <v>2022</v>
      </c>
      <c r="B30" s="27">
        <f t="shared" ref="B30" si="10">B29*EXP(C30/100)</f>
        <v>1.1572816021033951</v>
      </c>
      <c r="C30" s="28">
        <f t="shared" si="3"/>
        <v>4.7194795955190658</v>
      </c>
      <c r="D30" s="25">
        <f t="shared" si="4"/>
        <v>5.3184403617434484</v>
      </c>
      <c r="E30" s="28">
        <f t="shared" si="5"/>
        <v>0.59925839652177637</v>
      </c>
      <c r="F30" s="51">
        <f t="shared" si="5"/>
        <v>-2.9763029739375151E-4</v>
      </c>
      <c r="G30" s="25">
        <f t="shared" si="6"/>
        <v>0.9465503669147779</v>
      </c>
      <c r="H30" s="25">
        <f t="shared" si="7"/>
        <v>-8.111966046442376E-4</v>
      </c>
      <c r="I30" s="26">
        <f t="shared" si="8"/>
        <v>0.63309721010940168</v>
      </c>
      <c r="J30" s="26">
        <f t="shared" si="8"/>
        <v>0.36690278989059838</v>
      </c>
      <c r="K30" s="22">
        <f t="shared" si="0"/>
        <v>0.61313338233200487</v>
      </c>
      <c r="L30" s="48">
        <f t="shared" si="1"/>
        <v>0.38686661766799513</v>
      </c>
      <c r="M30" s="23">
        <v>149687.67000000001</v>
      </c>
      <c r="N30" s="23">
        <v>96761.311869320998</v>
      </c>
      <c r="O30" s="23">
        <v>70303.597999999998</v>
      </c>
      <c r="P30" s="24">
        <v>5576439.0520000001</v>
      </c>
      <c r="Q30" s="24">
        <v>4271628.9519999996</v>
      </c>
      <c r="R30" s="24">
        <v>336413.04176901199</v>
      </c>
    </row>
    <row r="31" spans="1:28" ht="15" x14ac:dyDescent="0.25">
      <c r="A31" s="19" t="s">
        <v>23</v>
      </c>
    </row>
    <row r="32" spans="1:28"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18400-9183-4BFB-9F96-36CD28C1E963}">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83</v>
      </c>
      <c r="B1" s="16"/>
    </row>
    <row r="2" spans="1:18" ht="105" customHeight="1"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0.53301293350451351</v>
      </c>
      <c r="L9" s="48">
        <f t="shared" ref="L9:L30" si="1">1-K9</f>
        <v>0.46698706649548649</v>
      </c>
      <c r="M9" s="23">
        <v>2366279</v>
      </c>
      <c r="N9" s="24">
        <v>2907699.3364418899</v>
      </c>
      <c r="O9" s="24">
        <v>1012222</v>
      </c>
      <c r="P9" s="24">
        <v>8836230</v>
      </c>
      <c r="Q9" s="24">
        <v>7091516</v>
      </c>
      <c r="R9" s="24">
        <v>10934558.5865256</v>
      </c>
    </row>
    <row r="10" spans="1:18" ht="15" x14ac:dyDescent="0.25">
      <c r="A10" s="20">
        <v>2002</v>
      </c>
      <c r="B10" s="21">
        <f t="shared" ref="B10:B27" si="2">B11*EXP(-C11/100)</f>
        <v>0.75893478565496264</v>
      </c>
      <c r="C10" s="25">
        <f t="shared" ref="C10:C30" si="3">D10-E10-F10</f>
        <v>1.1227689814359947</v>
      </c>
      <c r="D10" s="25">
        <f t="shared" ref="D10:D30" si="4">(LN(N10)-LN(N9))*100</f>
        <v>1.9389668452618025</v>
      </c>
      <c r="E10" s="25">
        <f t="shared" ref="E10:F30" si="5">I10*G10</f>
        <v>1.3826235219738161E-2</v>
      </c>
      <c r="F10" s="47">
        <f t="shared" si="5"/>
        <v>0.80237162860606959</v>
      </c>
      <c r="G10" s="25">
        <f t="shared" ref="G10:G30" si="6">(LN(P10)-LN(P9))*100</f>
        <v>2.5471420858380611E-2</v>
      </c>
      <c r="H10" s="25">
        <f t="shared" ref="H10:H30" si="7">(LN(R10)-LN(R9))*100</f>
        <v>1.755021007928903</v>
      </c>
      <c r="I10" s="26">
        <f t="shared" ref="I10:J30" si="8">(K10+K9)/2</f>
        <v>0.54281366149972943</v>
      </c>
      <c r="J10" s="26">
        <f t="shared" si="8"/>
        <v>0.45718633850027063</v>
      </c>
      <c r="K10" s="22">
        <f t="shared" si="0"/>
        <v>0.55261438949494524</v>
      </c>
      <c r="L10" s="48">
        <f t="shared" si="1"/>
        <v>0.44738561050505476</v>
      </c>
      <c r="M10" s="23">
        <v>2474186</v>
      </c>
      <c r="N10" s="24">
        <v>2964628.8006683202</v>
      </c>
      <c r="O10" s="24">
        <v>1085736</v>
      </c>
      <c r="P10" s="24">
        <v>8838481</v>
      </c>
      <c r="Q10" s="24">
        <v>7018549</v>
      </c>
      <c r="R10" s="24">
        <v>11128156.2576019</v>
      </c>
    </row>
    <row r="11" spans="1:18" ht="15" x14ac:dyDescent="0.25">
      <c r="A11" s="20">
        <v>2003</v>
      </c>
      <c r="B11" s="21">
        <f t="shared" si="2"/>
        <v>0.7772764760944515</v>
      </c>
      <c r="C11" s="25">
        <f t="shared" si="3"/>
        <v>2.3880259865334108</v>
      </c>
      <c r="D11" s="25">
        <f t="shared" si="4"/>
        <v>2.6340150623587633</v>
      </c>
      <c r="E11" s="25">
        <f t="shared" si="5"/>
        <v>-0.85377951576457334</v>
      </c>
      <c r="F11" s="47">
        <f t="shared" si="5"/>
        <v>1.099768591589926</v>
      </c>
      <c r="G11" s="25">
        <f t="shared" si="6"/>
        <v>-1.5252149392452452</v>
      </c>
      <c r="H11" s="25">
        <f t="shared" si="7"/>
        <v>2.4982052285984935</v>
      </c>
      <c r="I11" s="26">
        <f t="shared" si="8"/>
        <v>0.5597765231614289</v>
      </c>
      <c r="J11" s="26">
        <f t="shared" si="8"/>
        <v>0.44022347683857105</v>
      </c>
      <c r="K11" s="22">
        <f t="shared" si="0"/>
        <v>0.56693865682791267</v>
      </c>
      <c r="L11" s="48">
        <f t="shared" si="1"/>
        <v>0.43306134317208733</v>
      </c>
      <c r="M11" s="23">
        <v>2590891</v>
      </c>
      <c r="N11" s="24">
        <v>3043755.0942779798</v>
      </c>
      <c r="O11" s="24">
        <v>1145460</v>
      </c>
      <c r="P11" s="24">
        <v>8704698</v>
      </c>
      <c r="Q11" s="24">
        <v>6788103</v>
      </c>
      <c r="R11" s="24">
        <v>11409662.0952878</v>
      </c>
    </row>
    <row r="12" spans="1:18" ht="15" x14ac:dyDescent="0.25">
      <c r="A12" s="20">
        <v>2004</v>
      </c>
      <c r="B12" s="21">
        <f t="shared" si="2"/>
        <v>0.80361709402344894</v>
      </c>
      <c r="C12" s="25">
        <f t="shared" si="3"/>
        <v>3.3326792354423396</v>
      </c>
      <c r="D12" s="25">
        <f t="shared" si="4"/>
        <v>4.6587730272467098</v>
      </c>
      <c r="E12" s="25">
        <f t="shared" si="5"/>
        <v>0.34240944323507833</v>
      </c>
      <c r="F12" s="47">
        <f t="shared" si="5"/>
        <v>0.98368434856929232</v>
      </c>
      <c r="G12" s="25">
        <f t="shared" si="6"/>
        <v>0.60622121130791129</v>
      </c>
      <c r="H12" s="25">
        <f t="shared" si="7"/>
        <v>2.2604386517347308</v>
      </c>
      <c r="I12" s="26">
        <f t="shared" si="8"/>
        <v>0.56482590323148896</v>
      </c>
      <c r="J12" s="26">
        <f t="shared" si="8"/>
        <v>0.43517409676851104</v>
      </c>
      <c r="K12" s="22">
        <f t="shared" si="0"/>
        <v>0.56271314963506525</v>
      </c>
      <c r="L12" s="48">
        <f t="shared" si="1"/>
        <v>0.43728685036493475</v>
      </c>
      <c r="M12" s="23">
        <v>2796513</v>
      </c>
      <c r="N12" s="24">
        <v>3188911.7417451199</v>
      </c>
      <c r="O12" s="24">
        <v>1242104</v>
      </c>
      <c r="P12" s="24">
        <v>8757628</v>
      </c>
      <c r="Q12" s="24">
        <v>6912586</v>
      </c>
      <c r="R12" s="24">
        <v>11670507.526125301</v>
      </c>
    </row>
    <row r="13" spans="1:18" ht="15" x14ac:dyDescent="0.25">
      <c r="A13" s="20">
        <v>2005</v>
      </c>
      <c r="B13" s="21">
        <f t="shared" si="2"/>
        <v>0.84057873732078336</v>
      </c>
      <c r="C13" s="25">
        <f t="shared" si="3"/>
        <v>4.4967723084631297</v>
      </c>
      <c r="D13" s="25">
        <f t="shared" si="4"/>
        <v>6.3260133282376785</v>
      </c>
      <c r="E13" s="25">
        <f t="shared" si="5"/>
        <v>0.73716973585723478</v>
      </c>
      <c r="F13" s="47">
        <f t="shared" si="5"/>
        <v>1.0920712839173143</v>
      </c>
      <c r="G13" s="25">
        <f t="shared" si="6"/>
        <v>1.3194250340518465</v>
      </c>
      <c r="H13" s="25">
        <f t="shared" si="7"/>
        <v>2.4746982903160131</v>
      </c>
      <c r="I13" s="26">
        <f t="shared" si="8"/>
        <v>0.558705282098102</v>
      </c>
      <c r="J13" s="26">
        <f t="shared" si="8"/>
        <v>0.44129471790189806</v>
      </c>
      <c r="K13" s="22">
        <f t="shared" si="0"/>
        <v>0.55469741456113864</v>
      </c>
      <c r="L13" s="48">
        <f t="shared" si="1"/>
        <v>0.44530258543886136</v>
      </c>
      <c r="M13" s="23">
        <v>2974445</v>
      </c>
      <c r="N13" s="24">
        <v>3397160.1923982101</v>
      </c>
      <c r="O13" s="24">
        <v>1330849</v>
      </c>
      <c r="P13" s="24">
        <v>8873944</v>
      </c>
      <c r="Q13" s="24">
        <v>7157863</v>
      </c>
      <c r="R13" s="24">
        <v>11962920.624333</v>
      </c>
    </row>
    <row r="14" spans="1:18" ht="15" x14ac:dyDescent="0.25">
      <c r="A14" s="20">
        <v>2006</v>
      </c>
      <c r="B14" s="21">
        <f t="shared" si="2"/>
        <v>0.88737618775558891</v>
      </c>
      <c r="C14" s="25">
        <f t="shared" si="3"/>
        <v>5.4178377257980088</v>
      </c>
      <c r="D14" s="25">
        <f t="shared" si="4"/>
        <v>6.8775320514527394</v>
      </c>
      <c r="E14" s="25">
        <f t="shared" si="5"/>
        <v>0.3222103794049162</v>
      </c>
      <c r="F14" s="47">
        <f t="shared" si="5"/>
        <v>1.1374839462498136</v>
      </c>
      <c r="G14" s="25">
        <f t="shared" si="6"/>
        <v>0.58230320171439587</v>
      </c>
      <c r="H14" s="25">
        <f t="shared" si="7"/>
        <v>2.5466313830524001</v>
      </c>
      <c r="I14" s="26">
        <f t="shared" si="8"/>
        <v>0.55333781173841423</v>
      </c>
      <c r="J14" s="26">
        <f t="shared" si="8"/>
        <v>0.44666218826158577</v>
      </c>
      <c r="K14" s="22">
        <f t="shared" si="0"/>
        <v>0.55197820891568983</v>
      </c>
      <c r="L14" s="48">
        <f t="shared" si="1"/>
        <v>0.44802179108431017</v>
      </c>
      <c r="M14" s="23">
        <v>3208577</v>
      </c>
      <c r="N14" s="24">
        <v>3639022.7328001801</v>
      </c>
      <c r="O14" s="24">
        <v>1428038</v>
      </c>
      <c r="P14" s="24">
        <v>8925768</v>
      </c>
      <c r="Q14" s="24">
        <v>7196991</v>
      </c>
      <c r="R14" s="24">
        <v>12271484.4306721</v>
      </c>
    </row>
    <row r="15" spans="1:18" ht="15" x14ac:dyDescent="0.25">
      <c r="A15" s="20">
        <v>2007</v>
      </c>
      <c r="B15" s="21">
        <f t="shared" si="2"/>
        <v>0.91569492562141874</v>
      </c>
      <c r="C15" s="25">
        <f t="shared" si="3"/>
        <v>3.141425370547986</v>
      </c>
      <c r="D15" s="25">
        <f t="shared" si="4"/>
        <v>5.0673900371389635</v>
      </c>
      <c r="E15" s="25">
        <f t="shared" si="5"/>
        <v>0.6914175825048644</v>
      </c>
      <c r="F15" s="47">
        <f t="shared" si="5"/>
        <v>1.234547084086113</v>
      </c>
      <c r="G15" s="25">
        <f t="shared" si="6"/>
        <v>1.2571878015229743</v>
      </c>
      <c r="H15" s="25">
        <f t="shared" si="7"/>
        <v>2.7432648137832416</v>
      </c>
      <c r="I15" s="26">
        <f t="shared" si="8"/>
        <v>0.54997159665984019</v>
      </c>
      <c r="J15" s="26">
        <f t="shared" si="8"/>
        <v>0.45002840334015981</v>
      </c>
      <c r="K15" s="22">
        <f t="shared" si="0"/>
        <v>0.54796498440399055</v>
      </c>
      <c r="L15" s="48">
        <f t="shared" si="1"/>
        <v>0.45203501559600945</v>
      </c>
      <c r="M15" s="23">
        <v>3492426</v>
      </c>
      <c r="N15" s="24">
        <v>3828178.35979403</v>
      </c>
      <c r="O15" s="24">
        <v>1550227</v>
      </c>
      <c r="P15" s="24">
        <v>9038690</v>
      </c>
      <c r="Q15" s="24">
        <v>7321849</v>
      </c>
      <c r="R15" s="24">
        <v>12612783.713284399</v>
      </c>
    </row>
    <row r="16" spans="1:18" ht="15" x14ac:dyDescent="0.25">
      <c r="A16" s="20">
        <v>2008</v>
      </c>
      <c r="B16" s="21">
        <f t="shared" si="2"/>
        <v>0.92073454558864365</v>
      </c>
      <c r="C16" s="25">
        <f t="shared" si="3"/>
        <v>0.54885120253758402</v>
      </c>
      <c r="D16" s="25">
        <f t="shared" si="4"/>
        <v>3.4327158627464271</v>
      </c>
      <c r="E16" s="25">
        <f t="shared" si="5"/>
        <v>1.6412415430028453</v>
      </c>
      <c r="F16" s="47">
        <f t="shared" si="5"/>
        <v>1.2426231172059978</v>
      </c>
      <c r="G16" s="25">
        <f t="shared" si="6"/>
        <v>2.9743997514202647</v>
      </c>
      <c r="H16" s="25">
        <f t="shared" si="7"/>
        <v>2.7724075564250938</v>
      </c>
      <c r="I16" s="26">
        <f t="shared" si="8"/>
        <v>0.55178916089512131</v>
      </c>
      <c r="J16" s="26">
        <f t="shared" si="8"/>
        <v>0.44821083910487874</v>
      </c>
      <c r="K16" s="22">
        <f t="shared" si="0"/>
        <v>0.55561333738625196</v>
      </c>
      <c r="L16" s="48">
        <f t="shared" si="1"/>
        <v>0.44438666261374804</v>
      </c>
      <c r="M16" s="23">
        <v>3662668</v>
      </c>
      <c r="N16" s="24">
        <v>3961870.3509169398</v>
      </c>
      <c r="O16" s="24">
        <v>1661212</v>
      </c>
      <c r="P16" s="24">
        <v>9311575</v>
      </c>
      <c r="Q16" s="24">
        <v>7601127</v>
      </c>
      <c r="R16" s="24">
        <v>12967353.835816599</v>
      </c>
    </row>
    <row r="17" spans="1:20" ht="15" x14ac:dyDescent="0.25">
      <c r="A17" s="20">
        <v>2009</v>
      </c>
      <c r="B17" s="21">
        <f t="shared" si="2"/>
        <v>0.87445408331793595</v>
      </c>
      <c r="C17" s="25">
        <f t="shared" si="3"/>
        <v>-5.1571983725653583</v>
      </c>
      <c r="D17" s="25">
        <f t="shared" si="4"/>
        <v>-5.5909907635681932</v>
      </c>
      <c r="E17" s="25">
        <f t="shared" si="5"/>
        <v>-1.3200397336120209</v>
      </c>
      <c r="F17" s="47">
        <f t="shared" si="5"/>
        <v>0.88624734260918514</v>
      </c>
      <c r="G17" s="25">
        <f t="shared" si="6"/>
        <v>-2.3801093330792611</v>
      </c>
      <c r="H17" s="25">
        <f t="shared" si="7"/>
        <v>1.9898368679008627</v>
      </c>
      <c r="I17" s="26">
        <f t="shared" si="8"/>
        <v>0.55461306557048895</v>
      </c>
      <c r="J17" s="26">
        <f t="shared" si="8"/>
        <v>0.44538693442951105</v>
      </c>
      <c r="K17" s="22">
        <f t="shared" si="0"/>
        <v>0.55361279375472594</v>
      </c>
      <c r="L17" s="48">
        <f t="shared" si="1"/>
        <v>0.44638720624527406</v>
      </c>
      <c r="M17" s="23">
        <v>3569244</v>
      </c>
      <c r="N17" s="24">
        <v>3746440.9786375398</v>
      </c>
      <c r="O17" s="24">
        <v>1610110</v>
      </c>
      <c r="P17" s="24">
        <v>9092566</v>
      </c>
      <c r="Q17" s="24">
        <v>7409001</v>
      </c>
      <c r="R17" s="24">
        <v>13227967.315791201</v>
      </c>
    </row>
    <row r="18" spans="1:20" ht="15" x14ac:dyDescent="0.25">
      <c r="A18" s="20">
        <v>2010</v>
      </c>
      <c r="B18" s="21">
        <f t="shared" si="2"/>
        <v>0.89558322607150231</v>
      </c>
      <c r="C18" s="25">
        <f t="shared" si="3"/>
        <v>2.3875368417050629</v>
      </c>
      <c r="D18" s="25">
        <f t="shared" si="4"/>
        <v>3.2586830780447329</v>
      </c>
      <c r="E18" s="25">
        <f t="shared" si="5"/>
        <v>2.723735022557695E-2</v>
      </c>
      <c r="F18" s="47">
        <f t="shared" si="5"/>
        <v>0.84390888611409298</v>
      </c>
      <c r="G18" s="25">
        <f t="shared" si="6"/>
        <v>4.9148959828571037E-2</v>
      </c>
      <c r="H18" s="25">
        <f t="shared" si="7"/>
        <v>1.8929345992422242</v>
      </c>
      <c r="I18" s="26">
        <f t="shared" si="8"/>
        <v>0.55417958631432651</v>
      </c>
      <c r="J18" s="26">
        <f t="shared" si="8"/>
        <v>0.44582041368567349</v>
      </c>
      <c r="K18" s="22">
        <f t="shared" si="0"/>
        <v>0.55474637887392708</v>
      </c>
      <c r="L18" s="48">
        <f t="shared" si="1"/>
        <v>0.44525362112607292</v>
      </c>
      <c r="M18" s="23">
        <v>3653610</v>
      </c>
      <c r="N18" s="24">
        <v>3870536.5767170601</v>
      </c>
      <c r="O18" s="24">
        <v>1639680</v>
      </c>
      <c r="P18" s="24">
        <v>9097036</v>
      </c>
      <c r="Q18" s="24">
        <v>7359399</v>
      </c>
      <c r="R18" s="24">
        <v>13480749.0341722</v>
      </c>
    </row>
    <row r="19" spans="1:20" ht="15" x14ac:dyDescent="0.25">
      <c r="A19" s="20">
        <v>2011</v>
      </c>
      <c r="B19" s="21">
        <f t="shared" si="2"/>
        <v>0.90425748821238039</v>
      </c>
      <c r="C19" s="25">
        <f t="shared" si="3"/>
        <v>0.96389966429726259</v>
      </c>
      <c r="D19" s="25">
        <f t="shared" si="4"/>
        <v>1.7537144416055028</v>
      </c>
      <c r="E19" s="25">
        <f t="shared" si="5"/>
        <v>-9.5389918058260831E-2</v>
      </c>
      <c r="F19" s="47">
        <f t="shared" si="5"/>
        <v>0.88520469536650115</v>
      </c>
      <c r="G19" s="25">
        <f t="shared" si="6"/>
        <v>-0.17131229696154548</v>
      </c>
      <c r="H19" s="25">
        <f t="shared" si="7"/>
        <v>1.997388014376611</v>
      </c>
      <c r="I19" s="26">
        <f t="shared" si="8"/>
        <v>0.55681886093485178</v>
      </c>
      <c r="J19" s="26">
        <f t="shared" si="8"/>
        <v>0.44318113906514822</v>
      </c>
      <c r="K19" s="22">
        <f t="shared" si="0"/>
        <v>0.55889134299577647</v>
      </c>
      <c r="L19" s="48">
        <f t="shared" si="1"/>
        <v>0.44110865700422353</v>
      </c>
      <c r="M19" s="23">
        <v>3701935</v>
      </c>
      <c r="N19" s="24">
        <v>3939013.42481395</v>
      </c>
      <c r="O19" s="24">
        <v>1677411</v>
      </c>
      <c r="P19" s="24">
        <v>9081465</v>
      </c>
      <c r="Q19" s="24">
        <v>7362736</v>
      </c>
      <c r="R19" s="24">
        <v>13752719.005492199</v>
      </c>
    </row>
    <row r="20" spans="1:20" ht="15" x14ac:dyDescent="0.25">
      <c r="A20" s="20">
        <v>2012</v>
      </c>
      <c r="B20" s="21">
        <f t="shared" si="2"/>
        <v>0.8951121738037181</v>
      </c>
      <c r="C20" s="25">
        <f t="shared" si="3"/>
        <v>-1.0165107648431602</v>
      </c>
      <c r="D20" s="25">
        <f t="shared" si="4"/>
        <v>-0.82541032652958535</v>
      </c>
      <c r="E20" s="25">
        <f t="shared" si="5"/>
        <v>-0.65952300519046436</v>
      </c>
      <c r="F20" s="47">
        <f t="shared" si="5"/>
        <v>0.85062344350403918</v>
      </c>
      <c r="G20" s="25">
        <f t="shared" si="6"/>
        <v>-1.1741448083142814</v>
      </c>
      <c r="H20" s="25">
        <f t="shared" si="7"/>
        <v>1.9407555100816154</v>
      </c>
      <c r="I20" s="26">
        <f t="shared" si="8"/>
        <v>0.56170499628350012</v>
      </c>
      <c r="J20" s="26">
        <f t="shared" si="8"/>
        <v>0.43829500371649988</v>
      </c>
      <c r="K20" s="22">
        <f t="shared" si="0"/>
        <v>0.56451864957122377</v>
      </c>
      <c r="L20" s="48">
        <f t="shared" si="1"/>
        <v>0.43548135042877623</v>
      </c>
      <c r="M20" s="23">
        <v>3706986</v>
      </c>
      <c r="N20" s="24">
        <v>3906634.2157431501</v>
      </c>
      <c r="O20" s="24">
        <v>1717348</v>
      </c>
      <c r="P20" s="24">
        <v>8975459</v>
      </c>
      <c r="Q20" s="24">
        <v>7365729</v>
      </c>
      <c r="R20" s="24">
        <v>14022232.496972101</v>
      </c>
    </row>
    <row r="21" spans="1:20" ht="15" x14ac:dyDescent="0.25">
      <c r="A21" s="20">
        <v>2013</v>
      </c>
      <c r="B21" s="21">
        <f t="shared" si="2"/>
        <v>0.89004026295458372</v>
      </c>
      <c r="C21" s="25">
        <f t="shared" si="3"/>
        <v>-0.56823433023929837</v>
      </c>
      <c r="D21" s="25">
        <f t="shared" si="4"/>
        <v>-1.1647568417849641E-2</v>
      </c>
      <c r="E21" s="25">
        <f t="shared" si="5"/>
        <v>-0.21220858518556715</v>
      </c>
      <c r="F21" s="47">
        <f t="shared" si="5"/>
        <v>0.76879534700701591</v>
      </c>
      <c r="G21" s="25">
        <f t="shared" si="6"/>
        <v>-0.37803138966090444</v>
      </c>
      <c r="H21" s="25">
        <f t="shared" si="7"/>
        <v>1.7526465935336688</v>
      </c>
      <c r="I21" s="26">
        <f t="shared" si="8"/>
        <v>0.56135175805352844</v>
      </c>
      <c r="J21" s="26">
        <f t="shared" si="8"/>
        <v>0.43864824194647156</v>
      </c>
      <c r="K21" s="22">
        <f t="shared" si="0"/>
        <v>0.5581848665358331</v>
      </c>
      <c r="L21" s="48">
        <f t="shared" si="1"/>
        <v>0.4418151334641669</v>
      </c>
      <c r="M21" s="23">
        <v>3739215</v>
      </c>
      <c r="N21" s="24">
        <v>3906179.2143488498</v>
      </c>
      <c r="O21" s="24">
        <v>1732181</v>
      </c>
      <c r="P21" s="24">
        <v>8941593</v>
      </c>
      <c r="Q21" s="24">
        <v>7420782</v>
      </c>
      <c r="R21" s="24">
        <v>14270158.968183599</v>
      </c>
    </row>
    <row r="22" spans="1:20" ht="15" x14ac:dyDescent="0.25">
      <c r="A22" s="20">
        <v>2014</v>
      </c>
      <c r="B22" s="21">
        <f t="shared" si="2"/>
        <v>0.90215691619576133</v>
      </c>
      <c r="C22" s="25">
        <f t="shared" si="3"/>
        <v>1.3521768695091283</v>
      </c>
      <c r="D22" s="25">
        <f t="shared" si="4"/>
        <v>2.7945087031847393</v>
      </c>
      <c r="E22" s="25">
        <f t="shared" si="5"/>
        <v>0.62336067569583375</v>
      </c>
      <c r="F22" s="47">
        <f t="shared" si="5"/>
        <v>0.81897115797977726</v>
      </c>
      <c r="G22" s="25">
        <f t="shared" si="6"/>
        <v>1.1301655020851342</v>
      </c>
      <c r="H22" s="25">
        <f t="shared" si="7"/>
        <v>1.8262907173667742</v>
      </c>
      <c r="I22" s="26">
        <f t="shared" si="8"/>
        <v>0.55156583221284405</v>
      </c>
      <c r="J22" s="26">
        <f t="shared" si="8"/>
        <v>0.44843416778715589</v>
      </c>
      <c r="K22" s="22">
        <f t="shared" si="0"/>
        <v>0.54494679788985512</v>
      </c>
      <c r="L22" s="48">
        <f t="shared" si="1"/>
        <v>0.45505320211014488</v>
      </c>
      <c r="M22" s="23">
        <v>3962801</v>
      </c>
      <c r="N22" s="24">
        <v>4016877.2619034499</v>
      </c>
      <c r="O22" s="24">
        <v>1796229</v>
      </c>
      <c r="P22" s="24">
        <v>9043221</v>
      </c>
      <c r="Q22" s="24">
        <v>7521916</v>
      </c>
      <c r="R22" s="24">
        <v>14533167.9004749</v>
      </c>
    </row>
    <row r="23" spans="1:20" ht="15" x14ac:dyDescent="0.25">
      <c r="A23" s="20">
        <v>2015</v>
      </c>
      <c r="B23" s="21">
        <f t="shared" si="2"/>
        <v>0.93218472701767408</v>
      </c>
      <c r="C23" s="25">
        <f t="shared" si="3"/>
        <v>3.2742530327345403</v>
      </c>
      <c r="D23" s="25">
        <f t="shared" si="4"/>
        <v>4.2579869524251635</v>
      </c>
      <c r="E23" s="25">
        <f t="shared" si="5"/>
        <v>7.0336569024430265E-2</v>
      </c>
      <c r="F23" s="47">
        <f t="shared" si="5"/>
        <v>0.91339735066619265</v>
      </c>
      <c r="G23" s="25">
        <f t="shared" si="6"/>
        <v>0.12970367510938274</v>
      </c>
      <c r="H23" s="25">
        <f t="shared" si="7"/>
        <v>1.9955662492129989</v>
      </c>
      <c r="I23" s="26">
        <f t="shared" si="8"/>
        <v>0.54228663116225095</v>
      </c>
      <c r="J23" s="26">
        <f t="shared" si="8"/>
        <v>0.45771336883774899</v>
      </c>
      <c r="K23" s="22">
        <f t="shared" si="0"/>
        <v>0.5396264644346469</v>
      </c>
      <c r="L23" s="48">
        <f t="shared" si="1"/>
        <v>0.4603735355653531</v>
      </c>
      <c r="M23" s="23">
        <v>4191609</v>
      </c>
      <c r="N23" s="24">
        <v>4191609</v>
      </c>
      <c r="O23" s="24">
        <v>1888558</v>
      </c>
      <c r="P23" s="24">
        <v>9054958</v>
      </c>
      <c r="Q23" s="24">
        <v>7560365</v>
      </c>
      <c r="R23" s="24">
        <v>14826100</v>
      </c>
    </row>
    <row r="24" spans="1:20" ht="15" x14ac:dyDescent="0.25">
      <c r="A24" s="20">
        <v>2016</v>
      </c>
      <c r="B24" s="21">
        <f t="shared" si="2"/>
        <v>0.93908236124058908</v>
      </c>
      <c r="C24" s="25">
        <f t="shared" si="3"/>
        <v>0.73721870129702927</v>
      </c>
      <c r="D24" s="25">
        <f t="shared" si="4"/>
        <v>2.5143531158462906</v>
      </c>
      <c r="E24" s="25">
        <f t="shared" si="5"/>
        <v>1.2850896474923168</v>
      </c>
      <c r="F24" s="47">
        <f t="shared" si="5"/>
        <v>0.49204476705694461</v>
      </c>
      <c r="G24" s="25">
        <f t="shared" si="6"/>
        <v>2.3596053589383104</v>
      </c>
      <c r="H24" s="25">
        <f t="shared" si="7"/>
        <v>1.0805160471992536</v>
      </c>
      <c r="I24" s="26">
        <f t="shared" si="8"/>
        <v>0.54462058353288989</v>
      </c>
      <c r="J24" s="26">
        <f t="shared" si="8"/>
        <v>0.45537941646711017</v>
      </c>
      <c r="K24" s="22">
        <f t="shared" si="0"/>
        <v>0.54961470263113277</v>
      </c>
      <c r="L24" s="48">
        <f t="shared" si="1"/>
        <v>0.45038529736886723</v>
      </c>
      <c r="M24" s="23">
        <v>4360876</v>
      </c>
      <c r="N24" s="24">
        <v>4298336.9880403196</v>
      </c>
      <c r="O24" s="24">
        <v>1999057</v>
      </c>
      <c r="P24" s="24">
        <v>9271160</v>
      </c>
      <c r="Q24" s="24">
        <v>7732629</v>
      </c>
      <c r="R24" s="24">
        <v>14987167</v>
      </c>
    </row>
    <row r="25" spans="1:20" ht="15" x14ac:dyDescent="0.25">
      <c r="A25" s="20">
        <v>2017</v>
      </c>
      <c r="B25" s="21">
        <f t="shared" si="2"/>
        <v>0.974211945721838</v>
      </c>
      <c r="C25" s="25">
        <f t="shared" si="3"/>
        <v>3.6725696367717786</v>
      </c>
      <c r="D25" s="25">
        <f t="shared" si="4"/>
        <v>5.0754259872535457</v>
      </c>
      <c r="E25" s="25">
        <f t="shared" si="5"/>
        <v>0.81121142539616542</v>
      </c>
      <c r="F25" s="47">
        <f t="shared" si="5"/>
        <v>0.59164492508560163</v>
      </c>
      <c r="G25" s="25">
        <f t="shared" si="6"/>
        <v>1.4607028115428022</v>
      </c>
      <c r="H25" s="25">
        <f t="shared" si="7"/>
        <v>1.3306064159447573</v>
      </c>
      <c r="I25" s="26">
        <f t="shared" si="8"/>
        <v>0.55535692749119825</v>
      </c>
      <c r="J25" s="26">
        <f t="shared" si="8"/>
        <v>0.44464307250880181</v>
      </c>
      <c r="K25" s="22">
        <f t="shared" si="0"/>
        <v>0.56109915235126362</v>
      </c>
      <c r="L25" s="48">
        <f t="shared" si="1"/>
        <v>0.43890084764873638</v>
      </c>
      <c r="M25" s="23">
        <v>4661221</v>
      </c>
      <c r="N25" s="24">
        <v>4522127.0109399604</v>
      </c>
      <c r="O25" s="24">
        <v>2180460</v>
      </c>
      <c r="P25" s="24">
        <v>9407578</v>
      </c>
      <c r="Q25" s="24">
        <v>7843080</v>
      </c>
      <c r="R25" s="24">
        <v>15187919.858926</v>
      </c>
    </row>
    <row r="26" spans="1:20" ht="15" x14ac:dyDescent="0.25">
      <c r="A26" s="20">
        <v>2018</v>
      </c>
      <c r="B26" s="21">
        <f t="shared" si="2"/>
        <v>0.98512011477066175</v>
      </c>
      <c r="C26" s="25">
        <f t="shared" si="3"/>
        <v>1.1134694286279876</v>
      </c>
      <c r="D26" s="25">
        <f t="shared" si="4"/>
        <v>2.9288062255993452</v>
      </c>
      <c r="E26" s="25">
        <f t="shared" si="5"/>
        <v>0.90699395500590585</v>
      </c>
      <c r="F26" s="47">
        <f t="shared" si="5"/>
        <v>0.90834284196545179</v>
      </c>
      <c r="G26" s="25">
        <f t="shared" si="6"/>
        <v>1.5897072420138159</v>
      </c>
      <c r="H26" s="25">
        <f t="shared" si="7"/>
        <v>2.115088751871852</v>
      </c>
      <c r="I26" s="26">
        <f t="shared" si="8"/>
        <v>0.57054150036892348</v>
      </c>
      <c r="J26" s="26">
        <f t="shared" si="8"/>
        <v>0.42945849963107652</v>
      </c>
      <c r="K26" s="22">
        <f t="shared" si="0"/>
        <v>0.57998384838658334</v>
      </c>
      <c r="L26" s="48">
        <f t="shared" si="1"/>
        <v>0.42001615161341666</v>
      </c>
      <c r="M26" s="23">
        <v>4941127</v>
      </c>
      <c r="N26" s="24">
        <v>4656529.94174146</v>
      </c>
      <c r="O26" s="24">
        <v>2392928</v>
      </c>
      <c r="P26" s="24">
        <v>9558326</v>
      </c>
      <c r="Q26" s="24">
        <v>7981225</v>
      </c>
      <c r="R26" s="24">
        <v>15512579.156437701</v>
      </c>
    </row>
    <row r="27" spans="1:20" ht="15" x14ac:dyDescent="0.25">
      <c r="A27" s="20">
        <f>A26+1</f>
        <v>2019</v>
      </c>
      <c r="B27" s="21">
        <f t="shared" si="2"/>
        <v>1.009657937744447</v>
      </c>
      <c r="C27" s="25">
        <f t="shared" si="3"/>
        <v>2.4603299304120041</v>
      </c>
      <c r="D27" s="25">
        <f t="shared" si="4"/>
        <v>3.5362895984846432</v>
      </c>
      <c r="E27" s="25">
        <f t="shared" si="5"/>
        <v>-9.6877978156979253E-2</v>
      </c>
      <c r="F27" s="47">
        <f t="shared" si="5"/>
        <v>1.1728376462296182</v>
      </c>
      <c r="G27" s="25">
        <f t="shared" si="6"/>
        <v>-0.16764886319862171</v>
      </c>
      <c r="H27" s="25">
        <f t="shared" si="7"/>
        <v>2.7783303542303628</v>
      </c>
      <c r="I27" s="26">
        <f t="shared" si="8"/>
        <v>0.57786242214003702</v>
      </c>
      <c r="J27" s="26">
        <f t="shared" si="8"/>
        <v>0.42213757785996292</v>
      </c>
      <c r="K27" s="22">
        <f t="shared" si="0"/>
        <v>0.57574099589349081</v>
      </c>
      <c r="L27" s="48">
        <f t="shared" si="1"/>
        <v>0.42425900410650919</v>
      </c>
      <c r="M27" s="23">
        <v>5330260</v>
      </c>
      <c r="N27" s="24">
        <v>4824144.5273465104</v>
      </c>
      <c r="O27" s="24">
        <v>2579546</v>
      </c>
      <c r="P27" s="24">
        <v>9542315</v>
      </c>
      <c r="Q27" s="24">
        <v>8020870</v>
      </c>
      <c r="R27" s="24">
        <v>15949612.859615101</v>
      </c>
    </row>
    <row r="28" spans="1:20" ht="15" x14ac:dyDescent="0.25">
      <c r="A28" s="20">
        <f t="shared" ref="A28:A30" si="9">A27+1</f>
        <v>2020</v>
      </c>
      <c r="B28" s="21">
        <v>1</v>
      </c>
      <c r="C28" s="25">
        <f t="shared" si="3"/>
        <v>-0.96115979891211245</v>
      </c>
      <c r="D28" s="25">
        <f t="shared" si="4"/>
        <v>-5.1827348271674012</v>
      </c>
      <c r="E28" s="25">
        <f t="shared" si="5"/>
        <v>-5.0719774759161202</v>
      </c>
      <c r="F28" s="47">
        <f t="shared" si="5"/>
        <v>0.85040244766083151</v>
      </c>
      <c r="G28" s="25">
        <f t="shared" si="6"/>
        <v>-8.7325024553980057</v>
      </c>
      <c r="H28" s="25">
        <f t="shared" si="7"/>
        <v>2.0287094075030154</v>
      </c>
      <c r="I28" s="26">
        <f t="shared" si="8"/>
        <v>0.58081603776485302</v>
      </c>
      <c r="J28" s="26">
        <f t="shared" si="8"/>
        <v>0.41918396223514703</v>
      </c>
      <c r="K28" s="22">
        <f t="shared" si="0"/>
        <v>0.58589107963621512</v>
      </c>
      <c r="L28" s="48">
        <f t="shared" si="1"/>
        <v>0.41410892036378488</v>
      </c>
      <c r="M28" s="23">
        <v>5315366</v>
      </c>
      <c r="N28" s="24">
        <v>4580490.4189544804</v>
      </c>
      <c r="O28" s="24">
        <v>2624002</v>
      </c>
      <c r="P28" s="24">
        <v>8744379</v>
      </c>
      <c r="Q28" s="24">
        <v>7367889</v>
      </c>
      <c r="R28" s="24">
        <v>16276488.6250195</v>
      </c>
    </row>
    <row r="29" spans="1:20" ht="15" x14ac:dyDescent="0.25">
      <c r="A29" s="20">
        <f t="shared" si="9"/>
        <v>2021</v>
      </c>
      <c r="B29" s="21">
        <f>B28*EXP(C29/100)</f>
        <v>1.0088032735841426</v>
      </c>
      <c r="C29" s="25">
        <f t="shared" si="3"/>
        <v>0.87647506912048123</v>
      </c>
      <c r="D29" s="25">
        <f t="shared" si="4"/>
        <v>3.8540913915566577</v>
      </c>
      <c r="E29" s="25">
        <f t="shared" si="5"/>
        <v>2.258443877322192</v>
      </c>
      <c r="F29" s="47">
        <f t="shared" si="5"/>
        <v>0.71917244511398448</v>
      </c>
      <c r="G29" s="25">
        <f t="shared" si="6"/>
        <v>3.8615068311539602</v>
      </c>
      <c r="H29" s="25">
        <f t="shared" si="7"/>
        <v>1.7323644732400112</v>
      </c>
      <c r="I29" s="26">
        <f t="shared" si="8"/>
        <v>0.58486077484091514</v>
      </c>
      <c r="J29" s="26">
        <f t="shared" si="8"/>
        <v>0.41513922515908491</v>
      </c>
      <c r="K29" s="22">
        <f t="shared" si="0"/>
        <v>0.58383047004561506</v>
      </c>
      <c r="L29" s="48">
        <f t="shared" si="1"/>
        <v>0.41616952995438494</v>
      </c>
      <c r="M29" s="23">
        <v>5749003</v>
      </c>
      <c r="N29" s="24">
        <v>4760472.7697318299</v>
      </c>
      <c r="O29" s="24">
        <v>2813401</v>
      </c>
      <c r="P29" s="24">
        <v>9088648</v>
      </c>
      <c r="Q29" s="24">
        <v>7618187</v>
      </c>
      <c r="R29" s="24">
        <v>16560913.2539065</v>
      </c>
    </row>
    <row r="30" spans="1:20" ht="15" x14ac:dyDescent="0.25">
      <c r="A30" s="20">
        <f t="shared" si="9"/>
        <v>2022</v>
      </c>
      <c r="B30" s="27">
        <f t="shared" ref="B30" si="10">B29*EXP(C30/100)</f>
        <v>1.0043388574662346</v>
      </c>
      <c r="C30" s="28">
        <f t="shared" si="3"/>
        <v>-0.44352789280012461</v>
      </c>
      <c r="D30" s="25">
        <f t="shared" si="4"/>
        <v>2.8622201002285408</v>
      </c>
      <c r="E30" s="28">
        <f t="shared" si="5"/>
        <v>2.4844429958376848</v>
      </c>
      <c r="F30" s="51">
        <f t="shared" si="5"/>
        <v>0.8213049971909806</v>
      </c>
      <c r="G30" s="25">
        <f t="shared" si="6"/>
        <v>4.3182839813766805</v>
      </c>
      <c r="H30" s="25">
        <f t="shared" si="7"/>
        <v>1.9339889560555434</v>
      </c>
      <c r="I30" s="26">
        <f t="shared" si="8"/>
        <v>0.57533108210396988</v>
      </c>
      <c r="J30" s="26">
        <f t="shared" si="8"/>
        <v>0.42466891789603012</v>
      </c>
      <c r="K30" s="22">
        <f t="shared" si="0"/>
        <v>0.56683169416232471</v>
      </c>
      <c r="L30" s="48">
        <f t="shared" si="1"/>
        <v>0.43316830583767529</v>
      </c>
      <c r="M30" s="23">
        <v>6418123</v>
      </c>
      <c r="N30" s="23">
        <v>4898696.6781513598</v>
      </c>
      <c r="O30" s="23">
        <v>3031250</v>
      </c>
      <c r="P30" s="24">
        <v>9489719</v>
      </c>
      <c r="Q30" s="24">
        <v>7907022</v>
      </c>
      <c r="R30" s="24">
        <v>16884316.7005408</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CAF1-AA99-400A-94F3-08DC8BC6F993}">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59</v>
      </c>
      <c r="B1" s="16"/>
    </row>
    <row r="2" spans="1:18" ht="102.75" customHeight="1"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0.6545791053564467</v>
      </c>
      <c r="L9" s="48">
        <f t="shared" ref="L9:L30" si="1">1-K9</f>
        <v>0.3454208946435533</v>
      </c>
      <c r="M9" s="23">
        <v>1181873.8940000001</v>
      </c>
      <c r="N9" s="24">
        <v>1566663.82873661</v>
      </c>
      <c r="O9" s="24">
        <v>696894.78200000001</v>
      </c>
      <c r="P9" s="24">
        <v>4086549.9679999999</v>
      </c>
      <c r="Q9" s="24">
        <v>3681211.3160000001</v>
      </c>
      <c r="R9" s="24">
        <v>5504080.9045197796</v>
      </c>
    </row>
    <row r="10" spans="1:18" ht="15" x14ac:dyDescent="0.25">
      <c r="A10" s="20">
        <v>2002</v>
      </c>
      <c r="B10" s="21">
        <f t="shared" ref="B10:B27" si="2">B11*EXP(-C11/100)</f>
        <v>0.88035910635563541</v>
      </c>
      <c r="C10" s="25">
        <f t="shared" ref="C10:C30" si="3">D10-E10-F10</f>
        <v>0.14862306715206042</v>
      </c>
      <c r="D10" s="25">
        <f t="shared" ref="D10:D30" si="4">(LN(N10)-LN(N9))*100</f>
        <v>0.30711930665816567</v>
      </c>
      <c r="E10" s="25">
        <f t="shared" ref="E10:F30" si="5">I10*G10</f>
        <v>-0.23313429090874524</v>
      </c>
      <c r="F10" s="47">
        <f t="shared" si="5"/>
        <v>0.39163053041485052</v>
      </c>
      <c r="G10" s="25">
        <f t="shared" ref="G10:G30" si="6">(LN(P10)-LN(P9))*100</f>
        <v>-0.353549336040615</v>
      </c>
      <c r="H10" s="25">
        <f t="shared" ref="H10:H30" si="7">(LN(R10)-LN(R9))*100</f>
        <v>1.1498622439560791</v>
      </c>
      <c r="I10" s="26">
        <f t="shared" ref="I10:J30" si="8">(K10+K9)/2</f>
        <v>0.65941091424355913</v>
      </c>
      <c r="J10" s="26">
        <f t="shared" si="8"/>
        <v>0.34058908575644087</v>
      </c>
      <c r="K10" s="22">
        <f t="shared" si="0"/>
        <v>0.66424272313067156</v>
      </c>
      <c r="L10" s="48">
        <f t="shared" si="1"/>
        <v>0.33575727686932844</v>
      </c>
      <c r="M10" s="23">
        <v>1212912.1780000001</v>
      </c>
      <c r="N10" s="24">
        <v>1571482.7519591199</v>
      </c>
      <c r="O10" s="24">
        <v>722151.51500000001</v>
      </c>
      <c r="P10" s="24">
        <v>4072127.5079999999</v>
      </c>
      <c r="Q10" s="24">
        <v>3650005.62</v>
      </c>
      <c r="R10" s="24">
        <v>5567735.5215642899</v>
      </c>
    </row>
    <row r="11" spans="1:18" ht="15" x14ac:dyDescent="0.25">
      <c r="A11" s="20">
        <v>2003</v>
      </c>
      <c r="B11" s="21">
        <f t="shared" si="2"/>
        <v>0.88841785416756591</v>
      </c>
      <c r="C11" s="25">
        <f t="shared" si="3"/>
        <v>0.91122891739273615</v>
      </c>
      <c r="D11" s="25">
        <f t="shared" si="4"/>
        <v>0.448867250379692</v>
      </c>
      <c r="E11" s="25">
        <f t="shared" si="5"/>
        <v>-0.83050356996906616</v>
      </c>
      <c r="F11" s="47">
        <f t="shared" si="5"/>
        <v>0.36814190295602195</v>
      </c>
      <c r="G11" s="25">
        <f t="shared" si="6"/>
        <v>-1.2475900504494319</v>
      </c>
      <c r="H11" s="25">
        <f t="shared" si="7"/>
        <v>1.1011869163260357</v>
      </c>
      <c r="I11" s="26">
        <f t="shared" si="8"/>
        <v>0.66568627224133881</v>
      </c>
      <c r="J11" s="26">
        <f t="shared" si="8"/>
        <v>0.33431372775866119</v>
      </c>
      <c r="K11" s="22">
        <f t="shared" si="0"/>
        <v>0.66712982135200605</v>
      </c>
      <c r="L11" s="48">
        <f t="shared" si="1"/>
        <v>0.33287017864799395</v>
      </c>
      <c r="M11" s="23">
        <v>1238161.743</v>
      </c>
      <c r="N11" s="24">
        <v>1578552.4783510901</v>
      </c>
      <c r="O11" s="24">
        <v>741092.353</v>
      </c>
      <c r="P11" s="24">
        <v>4021639.6460000002</v>
      </c>
      <c r="Q11" s="24">
        <v>3608176.3050000002</v>
      </c>
      <c r="R11" s="24">
        <v>5629385.5145131303</v>
      </c>
    </row>
    <row r="12" spans="1:18" ht="15" x14ac:dyDescent="0.25">
      <c r="A12" s="20">
        <v>2004</v>
      </c>
      <c r="B12" s="21">
        <f t="shared" si="2"/>
        <v>0.90659546833286986</v>
      </c>
      <c r="C12" s="25">
        <f t="shared" si="3"/>
        <v>2.025415115425357</v>
      </c>
      <c r="D12" s="25">
        <f t="shared" si="4"/>
        <v>2.0664294186875765</v>
      </c>
      <c r="E12" s="25">
        <f t="shared" si="5"/>
        <v>-0.3369911608577677</v>
      </c>
      <c r="F12" s="47">
        <f t="shared" si="5"/>
        <v>0.37800546411998703</v>
      </c>
      <c r="G12" s="25">
        <f t="shared" si="6"/>
        <v>-0.5100825114078944</v>
      </c>
      <c r="H12" s="25">
        <f t="shared" si="7"/>
        <v>1.1139434515440527</v>
      </c>
      <c r="I12" s="26">
        <f t="shared" si="8"/>
        <v>0.66066009581004459</v>
      </c>
      <c r="J12" s="26">
        <f t="shared" si="8"/>
        <v>0.33933990418995535</v>
      </c>
      <c r="K12" s="22">
        <f t="shared" si="0"/>
        <v>0.65419037026808324</v>
      </c>
      <c r="L12" s="48">
        <f t="shared" si="1"/>
        <v>0.34580962973191676</v>
      </c>
      <c r="M12" s="23">
        <v>1294992.608</v>
      </c>
      <c r="N12" s="24">
        <v>1611511.51595784</v>
      </c>
      <c r="O12" s="24">
        <v>762992.196</v>
      </c>
      <c r="P12" s="24">
        <v>4001178.1949999998</v>
      </c>
      <c r="Q12" s="24">
        <v>3603599.79</v>
      </c>
      <c r="R12" s="24">
        <v>5692444.25309595</v>
      </c>
    </row>
    <row r="13" spans="1:18" ht="15" x14ac:dyDescent="0.25">
      <c r="A13" s="20">
        <v>2005</v>
      </c>
      <c r="B13" s="21">
        <f t="shared" si="2"/>
        <v>0.91139923941665235</v>
      </c>
      <c r="C13" s="25">
        <f t="shared" si="3"/>
        <v>0.52847043429959872</v>
      </c>
      <c r="D13" s="25">
        <f t="shared" si="4"/>
        <v>1.637411232635877</v>
      </c>
      <c r="E13" s="25">
        <f t="shared" si="5"/>
        <v>0.62138615273702724</v>
      </c>
      <c r="F13" s="47">
        <f t="shared" si="5"/>
        <v>0.48755464559925099</v>
      </c>
      <c r="G13" s="25">
        <f t="shared" si="6"/>
        <v>0.95018029697140349</v>
      </c>
      <c r="H13" s="25">
        <f t="shared" si="7"/>
        <v>1.4089813522197403</v>
      </c>
      <c r="I13" s="26">
        <f t="shared" si="8"/>
        <v>0.65396657320471507</v>
      </c>
      <c r="J13" s="26">
        <f t="shared" si="8"/>
        <v>0.34603342679528487</v>
      </c>
      <c r="K13" s="22">
        <f t="shared" si="0"/>
        <v>0.65374277614134702</v>
      </c>
      <c r="L13" s="48">
        <f t="shared" si="1"/>
        <v>0.34625722385865298</v>
      </c>
      <c r="M13" s="23">
        <v>1351792.4010000001</v>
      </c>
      <c r="N13" s="24">
        <v>1638115.80291982</v>
      </c>
      <c r="O13" s="24">
        <v>800004.29700000002</v>
      </c>
      <c r="P13" s="24">
        <v>4039377.7969999998</v>
      </c>
      <c r="Q13" s="24">
        <v>3656704.7</v>
      </c>
      <c r="R13" s="24">
        <v>5773217.4343660297</v>
      </c>
    </row>
    <row r="14" spans="1:18" ht="15" x14ac:dyDescent="0.25">
      <c r="A14" s="20">
        <v>2006</v>
      </c>
      <c r="B14" s="21">
        <f t="shared" si="2"/>
        <v>0.92289546106778808</v>
      </c>
      <c r="C14" s="25">
        <f t="shared" si="3"/>
        <v>1.2534923832797249</v>
      </c>
      <c r="D14" s="25">
        <f t="shared" si="4"/>
        <v>3.6768822211637797</v>
      </c>
      <c r="E14" s="25">
        <f t="shared" si="5"/>
        <v>1.6516032299868555</v>
      </c>
      <c r="F14" s="47">
        <f t="shared" si="5"/>
        <v>0.77178660789719944</v>
      </c>
      <c r="G14" s="25">
        <f t="shared" si="6"/>
        <v>2.5290819212356652</v>
      </c>
      <c r="H14" s="25">
        <f t="shared" si="7"/>
        <v>2.2244546523479514</v>
      </c>
      <c r="I14" s="26">
        <f t="shared" si="8"/>
        <v>0.65304457563000218</v>
      </c>
      <c r="J14" s="26">
        <f t="shared" si="8"/>
        <v>0.34695542436999782</v>
      </c>
      <c r="K14" s="22">
        <f t="shared" si="0"/>
        <v>0.65234637511865734</v>
      </c>
      <c r="L14" s="48">
        <f t="shared" si="1"/>
        <v>0.34765362488134266</v>
      </c>
      <c r="M14" s="23">
        <v>1431976.642</v>
      </c>
      <c r="N14" s="24">
        <v>1699468.4112499</v>
      </c>
      <c r="O14" s="24">
        <v>847816.05200000003</v>
      </c>
      <c r="P14" s="24">
        <v>4142839.7749999999</v>
      </c>
      <c r="Q14" s="24">
        <v>3759980.432</v>
      </c>
      <c r="R14" s="24">
        <v>5903079.0396374697</v>
      </c>
    </row>
    <row r="15" spans="1:18" ht="15" x14ac:dyDescent="0.25">
      <c r="A15" s="20">
        <v>2007</v>
      </c>
      <c r="B15" s="21">
        <f t="shared" si="2"/>
        <v>0.9178014298679853</v>
      </c>
      <c r="C15" s="25">
        <f t="shared" si="3"/>
        <v>-0.55349082508988068</v>
      </c>
      <c r="D15" s="25">
        <f t="shared" si="4"/>
        <v>0.60300089788132283</v>
      </c>
      <c r="E15" s="25">
        <f t="shared" si="5"/>
        <v>0.47597127459389993</v>
      </c>
      <c r="F15" s="47">
        <f t="shared" si="5"/>
        <v>0.68052044837730352</v>
      </c>
      <c r="G15" s="25">
        <f t="shared" si="6"/>
        <v>0.72088384492552393</v>
      </c>
      <c r="H15" s="25">
        <f t="shared" si="7"/>
        <v>2.0030666319511781</v>
      </c>
      <c r="I15" s="26">
        <f t="shared" si="8"/>
        <v>0.66026070350220367</v>
      </c>
      <c r="J15" s="26">
        <f t="shared" si="8"/>
        <v>0.33973929649779633</v>
      </c>
      <c r="K15" s="22">
        <f t="shared" si="0"/>
        <v>0.66817503188575</v>
      </c>
      <c r="L15" s="48">
        <f t="shared" si="1"/>
        <v>0.33182496811425</v>
      </c>
      <c r="M15" s="23">
        <v>1479815.7439999999</v>
      </c>
      <c r="N15" s="24">
        <v>1709747.1804186199</v>
      </c>
      <c r="O15" s="24">
        <v>901734.34699999995</v>
      </c>
      <c r="P15" s="24">
        <v>4172812.7429999998</v>
      </c>
      <c r="Q15" s="24">
        <v>3805481.5580000002</v>
      </c>
      <c r="R15" s="24">
        <v>6022513.8320236197</v>
      </c>
    </row>
    <row r="16" spans="1:18" ht="15" x14ac:dyDescent="0.25">
      <c r="A16" s="20">
        <v>2008</v>
      </c>
      <c r="B16" s="21">
        <f t="shared" si="2"/>
        <v>0.90851239832092123</v>
      </c>
      <c r="C16" s="25">
        <f t="shared" si="3"/>
        <v>-1.0172525122651126</v>
      </c>
      <c r="D16" s="25">
        <f t="shared" si="4"/>
        <v>0.17850819238791615</v>
      </c>
      <c r="E16" s="25">
        <f t="shared" si="5"/>
        <v>0.6995883012509988</v>
      </c>
      <c r="F16" s="47">
        <f t="shared" si="5"/>
        <v>0.49617240340202995</v>
      </c>
      <c r="G16" s="25">
        <f t="shared" si="6"/>
        <v>1.0482806171030035</v>
      </c>
      <c r="H16" s="25">
        <f t="shared" si="7"/>
        <v>1.4916529260384337</v>
      </c>
      <c r="I16" s="26">
        <f t="shared" si="8"/>
        <v>0.66736739174321458</v>
      </c>
      <c r="J16" s="26">
        <f t="shared" si="8"/>
        <v>0.33263260825678537</v>
      </c>
      <c r="K16" s="22">
        <f t="shared" si="0"/>
        <v>0.66655975160067926</v>
      </c>
      <c r="L16" s="48">
        <f t="shared" si="1"/>
        <v>0.33344024839932074</v>
      </c>
      <c r="M16" s="23">
        <v>1554406.7830000001</v>
      </c>
      <c r="N16" s="24">
        <v>1712801.94489604</v>
      </c>
      <c r="O16" s="24">
        <v>950135.97900000005</v>
      </c>
      <c r="P16" s="24">
        <v>4216785.6069999998</v>
      </c>
      <c r="Q16" s="24">
        <v>3866905.1150000002</v>
      </c>
      <c r="R16" s="24">
        <v>6113022.1929358998</v>
      </c>
    </row>
    <row r="17" spans="1:20" ht="15" x14ac:dyDescent="0.25">
      <c r="A17" s="20">
        <v>2009</v>
      </c>
      <c r="B17" s="21">
        <f t="shared" si="2"/>
        <v>0.88958138691770794</v>
      </c>
      <c r="C17" s="25">
        <f t="shared" si="3"/>
        <v>-2.1057534468450663</v>
      </c>
      <c r="D17" s="25">
        <f t="shared" si="4"/>
        <v>-4.6604585398805298</v>
      </c>
      <c r="E17" s="25">
        <f t="shared" si="5"/>
        <v>-2.7873247066182971</v>
      </c>
      <c r="F17" s="47">
        <f t="shared" si="5"/>
        <v>0.23261961358283356</v>
      </c>
      <c r="G17" s="25">
        <f t="shared" si="6"/>
        <v>-4.1086361363735335</v>
      </c>
      <c r="H17" s="25">
        <f t="shared" si="7"/>
        <v>0.72333390060261848</v>
      </c>
      <c r="I17" s="26">
        <f t="shared" si="8"/>
        <v>0.67840631637887383</v>
      </c>
      <c r="J17" s="26">
        <f t="shared" si="8"/>
        <v>0.32159368362112611</v>
      </c>
      <c r="K17" s="22">
        <f t="shared" si="0"/>
        <v>0.69025288115706851</v>
      </c>
      <c r="L17" s="48">
        <f t="shared" si="1"/>
        <v>0.30974711884293149</v>
      </c>
      <c r="M17" s="23">
        <v>1492609.8370000001</v>
      </c>
      <c r="N17" s="24">
        <v>1634809.04977547</v>
      </c>
      <c r="O17" s="24">
        <v>945958.20900000003</v>
      </c>
      <c r="P17" s="24">
        <v>4047044.1370000001</v>
      </c>
      <c r="Q17" s="24">
        <v>3715825.952</v>
      </c>
      <c r="R17" s="24">
        <v>6157400.0614005001</v>
      </c>
    </row>
    <row r="18" spans="1:20" ht="15" x14ac:dyDescent="0.25">
      <c r="A18" s="20">
        <v>2010</v>
      </c>
      <c r="B18" s="21">
        <f t="shared" si="2"/>
        <v>0.91473599820550622</v>
      </c>
      <c r="C18" s="25">
        <f t="shared" si="3"/>
        <v>2.7884496794134237</v>
      </c>
      <c r="D18" s="25">
        <f t="shared" si="4"/>
        <v>1.5040622664161063</v>
      </c>
      <c r="E18" s="25">
        <f t="shared" si="5"/>
        <v>-1.3351281528213226</v>
      </c>
      <c r="F18" s="47">
        <f t="shared" si="5"/>
        <v>5.0740739824005392E-2</v>
      </c>
      <c r="G18" s="25">
        <f t="shared" si="6"/>
        <v>-1.9727133173413236</v>
      </c>
      <c r="H18" s="25">
        <f t="shared" si="7"/>
        <v>0.15699382412375229</v>
      </c>
      <c r="I18" s="26">
        <f t="shared" si="8"/>
        <v>0.6767978606342604</v>
      </c>
      <c r="J18" s="26">
        <f t="shared" si="8"/>
        <v>0.32320213936573955</v>
      </c>
      <c r="K18" s="22">
        <f t="shared" si="0"/>
        <v>0.66334284011145239</v>
      </c>
      <c r="L18" s="48">
        <f t="shared" si="1"/>
        <v>0.33665715988854761</v>
      </c>
      <c r="M18" s="23">
        <v>1565161.1880000001</v>
      </c>
      <c r="N18" s="24">
        <v>1659583.4399105101</v>
      </c>
      <c r="O18" s="24">
        <v>953934.70200000005</v>
      </c>
      <c r="P18" s="24">
        <v>3967989.8790000002</v>
      </c>
      <c r="Q18" s="24">
        <v>3645793.679</v>
      </c>
      <c r="R18" s="24">
        <v>6167074.3912866898</v>
      </c>
    </row>
    <row r="19" spans="1:20" ht="15" x14ac:dyDescent="0.25">
      <c r="A19" s="20">
        <v>2011</v>
      </c>
      <c r="B19" s="21">
        <f t="shared" si="2"/>
        <v>0.92204240376507274</v>
      </c>
      <c r="C19" s="25">
        <f t="shared" si="3"/>
        <v>0.79557164750772014</v>
      </c>
      <c r="D19" s="25">
        <f t="shared" si="4"/>
        <v>1.4443101536043557</v>
      </c>
      <c r="E19" s="25">
        <f t="shared" si="5"/>
        <v>0.5966023086419201</v>
      </c>
      <c r="F19" s="47">
        <f t="shared" si="5"/>
        <v>5.2136197454715393E-2</v>
      </c>
      <c r="G19" s="25">
        <f t="shared" si="6"/>
        <v>0.90166575995134224</v>
      </c>
      <c r="H19" s="25">
        <f t="shared" si="7"/>
        <v>0.15409720140908689</v>
      </c>
      <c r="I19" s="26">
        <f t="shared" si="8"/>
        <v>0.6616668117397686</v>
      </c>
      <c r="J19" s="26">
        <f t="shared" si="8"/>
        <v>0.3383331882602314</v>
      </c>
      <c r="K19" s="22">
        <f t="shared" si="0"/>
        <v>0.65999078336808481</v>
      </c>
      <c r="L19" s="48">
        <f t="shared" si="1"/>
        <v>0.34000921663191519</v>
      </c>
      <c r="M19" s="23">
        <v>1594903.4069999999</v>
      </c>
      <c r="N19" s="24">
        <v>1683726.90560505</v>
      </c>
      <c r="O19" s="24">
        <v>966820.13699999999</v>
      </c>
      <c r="P19" s="24">
        <v>4003929.67</v>
      </c>
      <c r="Q19" s="24">
        <v>3677560.8820000002</v>
      </c>
      <c r="R19" s="24">
        <v>6176585.0062462296</v>
      </c>
    </row>
    <row r="20" spans="1:20" ht="15" x14ac:dyDescent="0.25">
      <c r="A20" s="20">
        <v>2012</v>
      </c>
      <c r="B20" s="21">
        <f t="shared" si="2"/>
        <v>0.93076276012584103</v>
      </c>
      <c r="C20" s="25">
        <f t="shared" si="3"/>
        <v>0.94132086007707272</v>
      </c>
      <c r="D20" s="25">
        <f t="shared" si="4"/>
        <v>-2.0107080029418967E-3</v>
      </c>
      <c r="E20" s="25">
        <f t="shared" si="5"/>
        <v>-1.0809355202752235</v>
      </c>
      <c r="F20" s="47">
        <f t="shared" si="5"/>
        <v>0.13760395219520893</v>
      </c>
      <c r="G20" s="25">
        <f t="shared" si="6"/>
        <v>-1.6499446477867608</v>
      </c>
      <c r="H20" s="25">
        <f t="shared" si="7"/>
        <v>0.39900749120089785</v>
      </c>
      <c r="I20" s="26">
        <f t="shared" si="8"/>
        <v>0.65513441419092011</v>
      </c>
      <c r="J20" s="26">
        <f t="shared" si="8"/>
        <v>0.34486558580907994</v>
      </c>
      <c r="K20" s="22">
        <f t="shared" si="0"/>
        <v>0.6502780450137553</v>
      </c>
      <c r="L20" s="48">
        <f t="shared" si="1"/>
        <v>0.3497219549862447</v>
      </c>
      <c r="M20" s="23">
        <v>1634281.9539999999</v>
      </c>
      <c r="N20" s="24">
        <v>1683693.0511137701</v>
      </c>
      <c r="O20" s="24">
        <v>977525.03200000001</v>
      </c>
      <c r="P20" s="24">
        <v>3938409.06</v>
      </c>
      <c r="Q20" s="24">
        <v>3622618.767</v>
      </c>
      <c r="R20" s="24">
        <v>6201279.27635286</v>
      </c>
    </row>
    <row r="21" spans="1:20" ht="15" x14ac:dyDescent="0.25">
      <c r="A21" s="20">
        <v>2013</v>
      </c>
      <c r="B21" s="21">
        <f t="shared" si="2"/>
        <v>0.94116258952901921</v>
      </c>
      <c r="C21" s="25">
        <f t="shared" si="3"/>
        <v>1.1111486263306669</v>
      </c>
      <c r="D21" s="25">
        <f t="shared" si="4"/>
        <v>1.4299425411161693</v>
      </c>
      <c r="E21" s="25">
        <f t="shared" si="5"/>
        <v>0.13826287680539764</v>
      </c>
      <c r="F21" s="47">
        <f t="shared" si="5"/>
        <v>0.18053103798010461</v>
      </c>
      <c r="G21" s="25">
        <f t="shared" si="6"/>
        <v>0.21349085817892188</v>
      </c>
      <c r="H21" s="25">
        <f t="shared" si="7"/>
        <v>0.51233232000384987</v>
      </c>
      <c r="I21" s="26">
        <f t="shared" si="8"/>
        <v>0.64762902723226978</v>
      </c>
      <c r="J21" s="26">
        <f t="shared" si="8"/>
        <v>0.35237097276773022</v>
      </c>
      <c r="K21" s="22">
        <f t="shared" si="0"/>
        <v>0.64498000945078426</v>
      </c>
      <c r="L21" s="48">
        <f t="shared" si="1"/>
        <v>0.35501999054921574</v>
      </c>
      <c r="M21" s="23">
        <v>1675416.8759999999</v>
      </c>
      <c r="N21" s="24">
        <v>1707941.85309591</v>
      </c>
      <c r="O21" s="24">
        <v>994228.15500000003</v>
      </c>
      <c r="P21" s="24">
        <v>3946826.1850000001</v>
      </c>
      <c r="Q21" s="24">
        <v>3631323.318</v>
      </c>
      <c r="R21" s="24">
        <v>6233131.9604634903</v>
      </c>
    </row>
    <row r="22" spans="1:20" ht="15" x14ac:dyDescent="0.25">
      <c r="A22" s="20">
        <v>2014</v>
      </c>
      <c r="B22" s="21">
        <f t="shared" si="2"/>
        <v>0.95031221958186241</v>
      </c>
      <c r="C22" s="25">
        <f t="shared" si="3"/>
        <v>0.96746743601959495</v>
      </c>
      <c r="D22" s="25">
        <f t="shared" si="4"/>
        <v>1.1251548069488138</v>
      </c>
      <c r="E22" s="25">
        <f t="shared" si="5"/>
        <v>-0.1319692217050602</v>
      </c>
      <c r="F22" s="47">
        <f t="shared" si="5"/>
        <v>0.28965659263427912</v>
      </c>
      <c r="G22" s="25">
        <f t="shared" si="6"/>
        <v>-0.20504960784073489</v>
      </c>
      <c r="H22" s="25">
        <f t="shared" si="7"/>
        <v>0.81272108521535102</v>
      </c>
      <c r="I22" s="26">
        <f t="shared" si="8"/>
        <v>0.64359655741240274</v>
      </c>
      <c r="J22" s="26">
        <f t="shared" si="8"/>
        <v>0.35640344258759732</v>
      </c>
      <c r="K22" s="22">
        <f t="shared" si="0"/>
        <v>0.6422131053740211</v>
      </c>
      <c r="L22" s="48">
        <f t="shared" si="1"/>
        <v>0.3577868946259789</v>
      </c>
      <c r="M22" s="23">
        <v>1717820.4650000001</v>
      </c>
      <c r="N22" s="24">
        <v>1727267.3600115499</v>
      </c>
      <c r="O22" s="24">
        <v>1015401.6459999999</v>
      </c>
      <c r="P22" s="24">
        <v>3938741.5249999999</v>
      </c>
      <c r="Q22" s="24">
        <v>3625253.7349999999</v>
      </c>
      <c r="R22" s="24">
        <v>6283996.3510165503</v>
      </c>
    </row>
    <row r="23" spans="1:20" ht="15" x14ac:dyDescent="0.25">
      <c r="A23" s="20">
        <v>2015</v>
      </c>
      <c r="B23" s="21">
        <f t="shared" si="2"/>
        <v>0.9593917175070763</v>
      </c>
      <c r="C23" s="25">
        <f t="shared" si="3"/>
        <v>0.95088732465642356</v>
      </c>
      <c r="D23" s="25">
        <f t="shared" si="4"/>
        <v>1.9351775033912944</v>
      </c>
      <c r="E23" s="25">
        <f t="shared" si="5"/>
        <v>0.63181568365050544</v>
      </c>
      <c r="F23" s="47">
        <f t="shared" si="5"/>
        <v>0.35247449508436524</v>
      </c>
      <c r="G23" s="25">
        <f t="shared" si="6"/>
        <v>0.97915792427052395</v>
      </c>
      <c r="H23" s="25">
        <f t="shared" si="7"/>
        <v>0.99362575179178236</v>
      </c>
      <c r="I23" s="26">
        <f t="shared" si="8"/>
        <v>0.64526433171769537</v>
      </c>
      <c r="J23" s="26">
        <f t="shared" si="8"/>
        <v>0.35473566828230463</v>
      </c>
      <c r="K23" s="22">
        <f t="shared" si="0"/>
        <v>0.64831555806136965</v>
      </c>
      <c r="L23" s="48">
        <f t="shared" si="1"/>
        <v>0.35168444193863035</v>
      </c>
      <c r="M23" s="23">
        <v>1761018.5689999999</v>
      </c>
      <c r="N23" s="24">
        <v>1761018.5689999999</v>
      </c>
      <c r="O23" s="24">
        <v>1046869.442</v>
      </c>
      <c r="P23" s="24">
        <v>3977497.4559999998</v>
      </c>
      <c r="Q23" s="24">
        <v>3647136.807</v>
      </c>
      <c r="R23" s="24">
        <v>6346746.9939999999</v>
      </c>
    </row>
    <row r="24" spans="1:20" ht="15" x14ac:dyDescent="0.25">
      <c r="A24" s="20">
        <v>2016</v>
      </c>
      <c r="B24" s="21">
        <f t="shared" si="2"/>
        <v>0.97057531095990845</v>
      </c>
      <c r="C24" s="25">
        <f t="shared" si="3"/>
        <v>1.158954372481374</v>
      </c>
      <c r="D24" s="25">
        <f t="shared" si="4"/>
        <v>2.9369817349572003</v>
      </c>
      <c r="E24" s="25">
        <f t="shared" si="5"/>
        <v>1.2826367730418138</v>
      </c>
      <c r="F24" s="47">
        <f t="shared" si="5"/>
        <v>0.49539058943401254</v>
      </c>
      <c r="G24" s="25">
        <f t="shared" si="6"/>
        <v>1.9866609682786418</v>
      </c>
      <c r="H24" s="25">
        <f t="shared" si="7"/>
        <v>1.3979251774863144</v>
      </c>
      <c r="I24" s="26">
        <f t="shared" si="8"/>
        <v>0.64562438862085492</v>
      </c>
      <c r="J24" s="26">
        <f t="shared" si="8"/>
        <v>0.35437561137914508</v>
      </c>
      <c r="K24" s="22">
        <f t="shared" si="0"/>
        <v>0.64293321918034019</v>
      </c>
      <c r="L24" s="48">
        <f t="shared" si="1"/>
        <v>0.35706678081965981</v>
      </c>
      <c r="M24" s="23">
        <v>1822909.4839999999</v>
      </c>
      <c r="N24" s="24">
        <v>1813506.36837789</v>
      </c>
      <c r="O24" s="24">
        <v>1081185.9979999999</v>
      </c>
      <c r="P24" s="24">
        <v>4057306.9929999998</v>
      </c>
      <c r="Q24" s="24">
        <v>3742892.1409999998</v>
      </c>
      <c r="R24" s="24">
        <v>6436092.807</v>
      </c>
    </row>
    <row r="25" spans="1:20" ht="15" x14ac:dyDescent="0.25">
      <c r="A25" s="20">
        <v>2017</v>
      </c>
      <c r="B25" s="21">
        <f t="shared" si="2"/>
        <v>0.99020779039502871</v>
      </c>
      <c r="C25" s="25">
        <f t="shared" si="3"/>
        <v>2.0025810629771423</v>
      </c>
      <c r="D25" s="25">
        <f t="shared" si="4"/>
        <v>3.1615130259700308</v>
      </c>
      <c r="E25" s="25">
        <f t="shared" si="5"/>
        <v>0.59338905785569984</v>
      </c>
      <c r="F25" s="47">
        <f t="shared" si="5"/>
        <v>0.56554290513718841</v>
      </c>
      <c r="G25" s="25">
        <f t="shared" si="6"/>
        <v>0.92912320568281359</v>
      </c>
      <c r="H25" s="25">
        <f t="shared" si="7"/>
        <v>1.5651045339684089</v>
      </c>
      <c r="I25" s="26">
        <f t="shared" si="8"/>
        <v>0.63865486754215506</v>
      </c>
      <c r="J25" s="26">
        <f t="shared" si="8"/>
        <v>0.36134513245784494</v>
      </c>
      <c r="K25" s="22">
        <f t="shared" si="0"/>
        <v>0.63437651590396993</v>
      </c>
      <c r="L25" s="48">
        <f t="shared" si="1"/>
        <v>0.36562348409603007</v>
      </c>
      <c r="M25" s="23">
        <v>1903817.6529999999</v>
      </c>
      <c r="N25" s="24">
        <v>1871756.5502305999</v>
      </c>
      <c r="O25" s="24">
        <v>1116351.8470000001</v>
      </c>
      <c r="P25" s="24">
        <v>4095180.0449999999</v>
      </c>
      <c r="Q25" s="24">
        <v>3785311.7140000002</v>
      </c>
      <c r="R25" s="24">
        <v>6537616.7931941999</v>
      </c>
    </row>
    <row r="26" spans="1:20" ht="15" x14ac:dyDescent="0.25">
      <c r="A26" s="20">
        <v>2018</v>
      </c>
      <c r="B26" s="21">
        <f t="shared" si="2"/>
        <v>1.0004907972381936</v>
      </c>
      <c r="C26" s="25">
        <f t="shared" si="3"/>
        <v>1.0331145425891151</v>
      </c>
      <c r="D26" s="25">
        <f t="shared" si="4"/>
        <v>1.5491174387946671</v>
      </c>
      <c r="E26" s="25">
        <f t="shared" si="5"/>
        <v>-8.6631217817537312E-2</v>
      </c>
      <c r="F26" s="47">
        <f t="shared" si="5"/>
        <v>0.60263411402308931</v>
      </c>
      <c r="G26" s="25">
        <f t="shared" si="6"/>
        <v>-0.13589511596130421</v>
      </c>
      <c r="H26" s="25">
        <f t="shared" si="7"/>
        <v>1.6623741906986567</v>
      </c>
      <c r="I26" s="26">
        <f t="shared" si="8"/>
        <v>0.63748588170163034</v>
      </c>
      <c r="J26" s="26">
        <f t="shared" si="8"/>
        <v>0.36251411829836966</v>
      </c>
      <c r="K26" s="22">
        <f t="shared" si="0"/>
        <v>0.64059524749929075</v>
      </c>
      <c r="L26" s="48">
        <f t="shared" si="1"/>
        <v>0.35940475250070925</v>
      </c>
      <c r="M26" s="23">
        <v>1945814.9550000001</v>
      </c>
      <c r="N26" s="24">
        <v>1900978.0103597699</v>
      </c>
      <c r="O26" s="24">
        <v>1154644.595</v>
      </c>
      <c r="P26" s="24">
        <v>4089618.6749999998</v>
      </c>
      <c r="Q26" s="24">
        <v>3788313.3369999998</v>
      </c>
      <c r="R26" s="24">
        <v>6647204.8051666403</v>
      </c>
    </row>
    <row r="27" spans="1:20" ht="15" x14ac:dyDescent="0.25">
      <c r="A27" s="20">
        <f>A26+1</f>
        <v>2019</v>
      </c>
      <c r="B27" s="21">
        <f t="shared" si="2"/>
        <v>1.0071970920993432</v>
      </c>
      <c r="C27" s="25">
        <f t="shared" si="3"/>
        <v>0.66806397937699979</v>
      </c>
      <c r="D27" s="25">
        <f t="shared" si="4"/>
        <v>1.668079891272356</v>
      </c>
      <c r="E27" s="25">
        <f t="shared" si="5"/>
        <v>0.5185432407874272</v>
      </c>
      <c r="F27" s="47">
        <f t="shared" si="5"/>
        <v>0.48147267110792913</v>
      </c>
      <c r="G27" s="25">
        <f t="shared" si="6"/>
        <v>0.81076467691492127</v>
      </c>
      <c r="H27" s="25">
        <f t="shared" si="7"/>
        <v>1.335839833679664</v>
      </c>
      <c r="I27" s="26">
        <f t="shared" si="8"/>
        <v>0.639573054367095</v>
      </c>
      <c r="J27" s="26">
        <f t="shared" si="8"/>
        <v>0.360426945632905</v>
      </c>
      <c r="K27" s="22">
        <f t="shared" si="0"/>
        <v>0.63855086123489924</v>
      </c>
      <c r="L27" s="48">
        <f t="shared" si="1"/>
        <v>0.36144913876510076</v>
      </c>
      <c r="M27" s="23">
        <v>2005034.632</v>
      </c>
      <c r="N27" s="24">
        <v>1932953.7916444701</v>
      </c>
      <c r="O27" s="24">
        <v>1193492.2579999999</v>
      </c>
      <c r="P27" s="24">
        <v>4122910.6359999999</v>
      </c>
      <c r="Q27" s="24">
        <v>3843316.5350000001</v>
      </c>
      <c r="R27" s="24">
        <v>6736596.55075109</v>
      </c>
    </row>
    <row r="28" spans="1:20" ht="15" x14ac:dyDescent="0.25">
      <c r="A28" s="20">
        <f t="shared" ref="A28:A30" si="9">A27+1</f>
        <v>2020</v>
      </c>
      <c r="B28" s="21">
        <v>1</v>
      </c>
      <c r="C28" s="25">
        <f t="shared" si="3"/>
        <v>-0.71713166303925391</v>
      </c>
      <c r="D28" s="25">
        <f t="shared" si="4"/>
        <v>-2.396944085317898</v>
      </c>
      <c r="E28" s="25">
        <f t="shared" si="5"/>
        <v>-2.2150039297436015</v>
      </c>
      <c r="F28" s="47">
        <f t="shared" si="5"/>
        <v>0.53519150746495736</v>
      </c>
      <c r="G28" s="25">
        <f t="shared" si="6"/>
        <v>-3.4597125152357577</v>
      </c>
      <c r="H28" s="25">
        <f t="shared" si="7"/>
        <v>1.487584144599019</v>
      </c>
      <c r="I28" s="26">
        <f t="shared" si="8"/>
        <v>0.64022774146384898</v>
      </c>
      <c r="J28" s="26">
        <f t="shared" si="8"/>
        <v>0.35977225853615102</v>
      </c>
      <c r="K28" s="22">
        <f t="shared" si="0"/>
        <v>0.64190462169279872</v>
      </c>
      <c r="L28" s="48">
        <f t="shared" si="1"/>
        <v>0.35809537830720128</v>
      </c>
      <c r="M28" s="23">
        <v>2021320.4080000001</v>
      </c>
      <c r="N28" s="24">
        <v>1887172.8339154001</v>
      </c>
      <c r="O28" s="24">
        <v>1210390.077</v>
      </c>
      <c r="P28" s="24">
        <v>3982709.051</v>
      </c>
      <c r="Q28" s="24">
        <v>3715337.51</v>
      </c>
      <c r="R28" s="24">
        <v>6837558.1756727202</v>
      </c>
    </row>
    <row r="29" spans="1:20" ht="15" x14ac:dyDescent="0.25">
      <c r="A29" s="20">
        <f t="shared" si="9"/>
        <v>2021</v>
      </c>
      <c r="B29" s="21">
        <f>B28*EXP(C29/100)</f>
        <v>1.0199632681359723</v>
      </c>
      <c r="C29" s="25">
        <f t="shared" si="3"/>
        <v>1.9766615016345508</v>
      </c>
      <c r="D29" s="25">
        <f t="shared" si="4"/>
        <v>6.5725481976155464</v>
      </c>
      <c r="E29" s="25">
        <f t="shared" si="5"/>
        <v>3.6400357956051685</v>
      </c>
      <c r="F29" s="47">
        <f t="shared" si="5"/>
        <v>0.95585090037582698</v>
      </c>
      <c r="G29" s="25">
        <f t="shared" si="6"/>
        <v>5.7753840120767563</v>
      </c>
      <c r="H29" s="25">
        <f t="shared" si="7"/>
        <v>2.5852486097473815</v>
      </c>
      <c r="I29" s="26">
        <f t="shared" si="8"/>
        <v>0.63026731867414942</v>
      </c>
      <c r="J29" s="26">
        <f t="shared" si="8"/>
        <v>0.36973268132585063</v>
      </c>
      <c r="K29" s="22">
        <f t="shared" si="0"/>
        <v>0.61863001565550002</v>
      </c>
      <c r="L29" s="48">
        <f t="shared" si="1"/>
        <v>0.38136998434449998</v>
      </c>
      <c r="M29" s="23">
        <v>2224247.5150000001</v>
      </c>
      <c r="N29" s="24">
        <v>2015375.10835981</v>
      </c>
      <c r="O29" s="24">
        <v>1278352.9339999999</v>
      </c>
      <c r="P29" s="24">
        <v>4219497.7060000002</v>
      </c>
      <c r="Q29" s="24">
        <v>3920102.5260000001</v>
      </c>
      <c r="R29" s="24">
        <v>7016630.8163220501</v>
      </c>
    </row>
    <row r="30" spans="1:20" ht="15" x14ac:dyDescent="0.25">
      <c r="A30" s="20">
        <f t="shared" si="9"/>
        <v>2022</v>
      </c>
      <c r="B30" s="27">
        <f t="shared" ref="B30" si="10">B29*EXP(C30/100)</f>
        <v>0.97266847467057249</v>
      </c>
      <c r="C30" s="28">
        <f t="shared" si="3"/>
        <v>-4.7478594774171059</v>
      </c>
      <c r="D30" s="25">
        <f t="shared" si="4"/>
        <v>1.3612159923599876</v>
      </c>
      <c r="E30" s="28">
        <f t="shared" si="5"/>
        <v>2.2508710939901655</v>
      </c>
      <c r="F30" s="51">
        <f t="shared" si="5"/>
        <v>3.858204375786928</v>
      </c>
      <c r="G30" s="25">
        <f t="shared" si="6"/>
        <v>3.7295781814822959</v>
      </c>
      <c r="H30" s="25">
        <f t="shared" si="7"/>
        <v>9.7311191522310381</v>
      </c>
      <c r="I30" s="26">
        <f t="shared" si="8"/>
        <v>0.60351894623524738</v>
      </c>
      <c r="J30" s="26">
        <f t="shared" si="8"/>
        <v>0.39648105376475262</v>
      </c>
      <c r="K30" s="22">
        <f t="shared" si="0"/>
        <v>0.58840787681499473</v>
      </c>
      <c r="L30" s="48">
        <f t="shared" si="1"/>
        <v>0.41159212318500527</v>
      </c>
      <c r="M30" s="23">
        <v>2494375.3769999999</v>
      </c>
      <c r="N30" s="23">
        <v>2042996.2820630199</v>
      </c>
      <c r="O30" s="23">
        <v>1366721.5120000001</v>
      </c>
      <c r="P30" s="24">
        <v>4379838.6059999997</v>
      </c>
      <c r="Q30" s="24">
        <v>4078475.4169999999</v>
      </c>
      <c r="R30" s="24">
        <v>7733753.7570079798</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09515-9655-4512-9EE2-8DFFBCEC73D5}">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60</v>
      </c>
      <c r="B1" s="16"/>
    </row>
    <row r="2" spans="1:18" ht="102.75" customHeight="1"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0.68884497962171987</v>
      </c>
      <c r="L9" s="48">
        <f t="shared" ref="L9:L30" si="1">1-K9</f>
        <v>0.31115502037828013</v>
      </c>
      <c r="M9" s="23">
        <v>1977509</v>
      </c>
      <c r="N9" s="24">
        <v>2334386.1414543302</v>
      </c>
      <c r="O9" s="24">
        <v>1152309</v>
      </c>
      <c r="P9" s="24">
        <v>58097388.600000001</v>
      </c>
      <c r="Q9" s="24">
        <v>49145708.399999999</v>
      </c>
      <c r="R9" s="24">
        <v>8867751.3845389709</v>
      </c>
    </row>
    <row r="10" spans="1:18" ht="15" x14ac:dyDescent="0.25">
      <c r="A10" s="20">
        <v>2002</v>
      </c>
      <c r="B10" s="21">
        <f t="shared" ref="B10:B27" si="2">B11*EXP(-C11/100)</f>
        <v>0.87621037494851339</v>
      </c>
      <c r="C10" s="25">
        <f t="shared" ref="C10:C30" si="3">D10-E10-F10</f>
        <v>0.53096050028695785</v>
      </c>
      <c r="D10" s="25">
        <f t="shared" ref="D10:D30" si="4">(LN(N10)-LN(N9))*100</f>
        <v>4.8396902009528731E-2</v>
      </c>
      <c r="E10" s="25">
        <f t="shared" ref="E10:F30" si="5">I10*G10</f>
        <v>-0.75618216920854953</v>
      </c>
      <c r="F10" s="47">
        <f t="shared" si="5"/>
        <v>0.27361857093112041</v>
      </c>
      <c r="G10" s="25">
        <f t="shared" ref="G10:G30" si="6">(LN(P10)-LN(P9))*100</f>
        <v>-1.1008204870229576</v>
      </c>
      <c r="H10" s="25">
        <f t="shared" ref="H10:H30" si="7">(LN(R10)-LN(R9))*100</f>
        <v>0.87397399807738196</v>
      </c>
      <c r="I10" s="26">
        <f t="shared" ref="I10:J30" si="8">(K10+K9)/2</f>
        <v>0.68692595943009493</v>
      </c>
      <c r="J10" s="26">
        <f t="shared" si="8"/>
        <v>0.31307404056990507</v>
      </c>
      <c r="K10" s="22">
        <f t="shared" si="0"/>
        <v>0.68500693923847</v>
      </c>
      <c r="L10" s="48">
        <f t="shared" si="1"/>
        <v>0.31499306076153</v>
      </c>
      <c r="M10" s="23">
        <v>2003527</v>
      </c>
      <c r="N10" s="24">
        <v>2335516.1854588198</v>
      </c>
      <c r="O10" s="24">
        <v>1160285</v>
      </c>
      <c r="P10" s="24">
        <v>57461347.899999999</v>
      </c>
      <c r="Q10" s="24">
        <v>48579195.299999997</v>
      </c>
      <c r="R10" s="24">
        <v>8945592.8876219597</v>
      </c>
    </row>
    <row r="11" spans="1:18" ht="15" x14ac:dyDescent="0.25">
      <c r="A11" s="20">
        <v>2003</v>
      </c>
      <c r="B11" s="21">
        <f t="shared" si="2"/>
        <v>0.87820017096408409</v>
      </c>
      <c r="C11" s="25">
        <f t="shared" si="3"/>
        <v>0.22683366483287223</v>
      </c>
      <c r="D11" s="25">
        <f t="shared" si="4"/>
        <v>-0.53365815373123127</v>
      </c>
      <c r="E11" s="25">
        <f t="shared" si="5"/>
        <v>-0.99372560945462773</v>
      </c>
      <c r="F11" s="47">
        <f t="shared" si="5"/>
        <v>0.23323379089052423</v>
      </c>
      <c r="G11" s="25">
        <f t="shared" si="6"/>
        <v>-1.449293871949564</v>
      </c>
      <c r="H11" s="25">
        <f t="shared" si="7"/>
        <v>0.7419838731038908</v>
      </c>
      <c r="I11" s="26">
        <f t="shared" si="8"/>
        <v>0.68566191349300742</v>
      </c>
      <c r="J11" s="26">
        <f t="shared" si="8"/>
        <v>0.31433808650699258</v>
      </c>
      <c r="K11" s="22">
        <f t="shared" si="0"/>
        <v>0.68631688774754485</v>
      </c>
      <c r="L11" s="48">
        <f t="shared" si="1"/>
        <v>0.31368311225245515</v>
      </c>
      <c r="M11" s="23">
        <v>2015904</v>
      </c>
      <c r="N11" s="24">
        <v>2323085.7105256398</v>
      </c>
      <c r="O11" s="24">
        <v>1165998</v>
      </c>
      <c r="P11" s="24">
        <v>56634569.799999997</v>
      </c>
      <c r="Q11" s="24">
        <v>47729279.600000001</v>
      </c>
      <c r="R11" s="24">
        <v>9012214.5997324996</v>
      </c>
    </row>
    <row r="12" spans="1:18" ht="15" x14ac:dyDescent="0.25">
      <c r="A12" s="20">
        <v>2004</v>
      </c>
      <c r="B12" s="21">
        <f t="shared" si="2"/>
        <v>0.88849279178796703</v>
      </c>
      <c r="C12" s="25">
        <f t="shared" si="3"/>
        <v>1.1651981970748939</v>
      </c>
      <c r="D12" s="25">
        <f t="shared" si="4"/>
        <v>1.556592466805462</v>
      </c>
      <c r="E12" s="25">
        <f t="shared" si="5"/>
        <v>0.19492817839785501</v>
      </c>
      <c r="F12" s="47">
        <f t="shared" si="5"/>
        <v>0.19646609133271312</v>
      </c>
      <c r="G12" s="25">
        <f t="shared" si="6"/>
        <v>0.28667536234223689</v>
      </c>
      <c r="H12" s="25">
        <f t="shared" si="7"/>
        <v>0.61388247027736043</v>
      </c>
      <c r="I12" s="26">
        <f t="shared" si="8"/>
        <v>0.67996139188671234</v>
      </c>
      <c r="J12" s="26">
        <f t="shared" si="8"/>
        <v>0.32003860811328766</v>
      </c>
      <c r="K12" s="22">
        <f t="shared" si="0"/>
        <v>0.67360589602587984</v>
      </c>
      <c r="L12" s="48">
        <f t="shared" si="1"/>
        <v>0.32639410397412016</v>
      </c>
      <c r="M12" s="23">
        <v>2069017</v>
      </c>
      <c r="N12" s="24">
        <v>2359529.5932056</v>
      </c>
      <c r="O12" s="24">
        <v>1170964</v>
      </c>
      <c r="P12" s="24">
        <v>56797160.100000001</v>
      </c>
      <c r="Q12" s="24">
        <v>47719977</v>
      </c>
      <c r="R12" s="24">
        <v>9067709.1667768192</v>
      </c>
    </row>
    <row r="13" spans="1:18" ht="15" x14ac:dyDescent="0.25">
      <c r="A13" s="20">
        <v>2005</v>
      </c>
      <c r="B13" s="21">
        <f t="shared" si="2"/>
        <v>0.8998556909927995</v>
      </c>
      <c r="C13" s="25">
        <f t="shared" si="3"/>
        <v>1.2707872352693563</v>
      </c>
      <c r="D13" s="25">
        <f t="shared" si="4"/>
        <v>0.88211332739884796</v>
      </c>
      <c r="E13" s="25">
        <f t="shared" si="5"/>
        <v>-0.58312446082301805</v>
      </c>
      <c r="F13" s="47">
        <f t="shared" si="5"/>
        <v>0.19445055295250976</v>
      </c>
      <c r="G13" s="25">
        <f t="shared" si="6"/>
        <v>-0.8704569318734201</v>
      </c>
      <c r="H13" s="25">
        <f t="shared" si="7"/>
        <v>0.58907658819542519</v>
      </c>
      <c r="I13" s="26">
        <f t="shared" si="8"/>
        <v>0.66990616016808824</v>
      </c>
      <c r="J13" s="26">
        <f t="shared" si="8"/>
        <v>0.33009383983191182</v>
      </c>
      <c r="K13" s="22">
        <f t="shared" si="0"/>
        <v>0.66620642431029653</v>
      </c>
      <c r="L13" s="48">
        <f t="shared" si="1"/>
        <v>0.33379357568970347</v>
      </c>
      <c r="M13" s="23">
        <v>2095171</v>
      </c>
      <c r="N13" s="24">
        <v>2380435.38905623</v>
      </c>
      <c r="O13" s="24">
        <v>1168433</v>
      </c>
      <c r="P13" s="24">
        <v>56304910.799999997</v>
      </c>
      <c r="Q13" s="24">
        <v>47132643.5</v>
      </c>
      <c r="R13" s="24">
        <v>9121282.5577946305</v>
      </c>
    </row>
    <row r="14" spans="1:18" ht="15" x14ac:dyDescent="0.25">
      <c r="A14" s="20">
        <v>2006</v>
      </c>
      <c r="B14" s="21">
        <f t="shared" si="2"/>
        <v>0.91943113165167312</v>
      </c>
      <c r="C14" s="25">
        <f t="shared" si="3"/>
        <v>2.1520736507225351</v>
      </c>
      <c r="D14" s="25">
        <f t="shared" si="4"/>
        <v>3.8759579619318529</v>
      </c>
      <c r="E14" s="25">
        <f t="shared" si="5"/>
        <v>1.4121052149964386</v>
      </c>
      <c r="F14" s="47">
        <f t="shared" si="5"/>
        <v>0.31177909621287886</v>
      </c>
      <c r="G14" s="25">
        <f t="shared" si="6"/>
        <v>2.1480831578454485</v>
      </c>
      <c r="H14" s="25">
        <f t="shared" si="7"/>
        <v>0.90998301246720814</v>
      </c>
      <c r="I14" s="26">
        <f t="shared" si="8"/>
        <v>0.6573792126431437</v>
      </c>
      <c r="J14" s="26">
        <f t="shared" si="8"/>
        <v>0.3426207873568563</v>
      </c>
      <c r="K14" s="22">
        <f t="shared" si="0"/>
        <v>0.64855200097599086</v>
      </c>
      <c r="L14" s="48">
        <f t="shared" si="1"/>
        <v>0.35144799902400914</v>
      </c>
      <c r="M14" s="23">
        <v>2184869</v>
      </c>
      <c r="N14" s="24">
        <v>2474511.4612678899</v>
      </c>
      <c r="O14" s="24">
        <v>1190349</v>
      </c>
      <c r="P14" s="24">
        <v>57527470.899999999</v>
      </c>
      <c r="Q14" s="24">
        <v>48325837.200000003</v>
      </c>
      <c r="R14" s="24">
        <v>9204663.4803294893</v>
      </c>
    </row>
    <row r="15" spans="1:18" ht="15" x14ac:dyDescent="0.25">
      <c r="A15" s="20">
        <v>2007</v>
      </c>
      <c r="B15" s="21">
        <f t="shared" si="2"/>
        <v>0.93603236527648326</v>
      </c>
      <c r="C15" s="25">
        <f t="shared" si="3"/>
        <v>1.7894910532783628</v>
      </c>
      <c r="D15" s="25">
        <f t="shared" si="4"/>
        <v>3.2903983869159603</v>
      </c>
      <c r="E15" s="25">
        <f t="shared" si="5"/>
        <v>1.1478774585107028</v>
      </c>
      <c r="F15" s="47">
        <f t="shared" si="5"/>
        <v>0.35302987512689504</v>
      </c>
      <c r="G15" s="25">
        <f t="shared" si="6"/>
        <v>1.7836943954158357</v>
      </c>
      <c r="H15" s="25">
        <f t="shared" si="7"/>
        <v>0.99037533152745993</v>
      </c>
      <c r="I15" s="26">
        <f t="shared" si="8"/>
        <v>0.64353930889775324</v>
      </c>
      <c r="J15" s="26">
        <f t="shared" si="8"/>
        <v>0.35646069110224671</v>
      </c>
      <c r="K15" s="22">
        <f t="shared" si="0"/>
        <v>0.63852661681951572</v>
      </c>
      <c r="L15" s="48">
        <f t="shared" si="1"/>
        <v>0.36147338318048428</v>
      </c>
      <c r="M15" s="23">
        <v>2275687</v>
      </c>
      <c r="N15" s="24">
        <v>2557287.1025508698</v>
      </c>
      <c r="O15" s="24">
        <v>1224004</v>
      </c>
      <c r="P15" s="24">
        <v>58562791.200000003</v>
      </c>
      <c r="Q15" s="24">
        <v>49330222.100000001</v>
      </c>
      <c r="R15" s="24">
        <v>9296277.1073494107</v>
      </c>
    </row>
    <row r="16" spans="1:18" ht="15" x14ac:dyDescent="0.25">
      <c r="A16" s="20">
        <v>2008</v>
      </c>
      <c r="B16" s="21">
        <f t="shared" si="2"/>
        <v>0.93645276902741892</v>
      </c>
      <c r="C16" s="25">
        <f t="shared" si="3"/>
        <v>4.4903294589395015E-2</v>
      </c>
      <c r="D16" s="25">
        <f t="shared" si="4"/>
        <v>0.96746599693702251</v>
      </c>
      <c r="E16" s="25">
        <f t="shared" si="5"/>
        <v>0.59611127786691909</v>
      </c>
      <c r="F16" s="47">
        <f t="shared" si="5"/>
        <v>0.32645142448070841</v>
      </c>
      <c r="G16" s="25">
        <f t="shared" si="6"/>
        <v>0.9250185242667186</v>
      </c>
      <c r="H16" s="25">
        <f t="shared" si="7"/>
        <v>0.91811177231058139</v>
      </c>
      <c r="I16" s="26">
        <f t="shared" si="8"/>
        <v>0.64443171918040121</v>
      </c>
      <c r="J16" s="26">
        <f t="shared" si="8"/>
        <v>0.35556828081959885</v>
      </c>
      <c r="K16" s="22">
        <f t="shared" si="0"/>
        <v>0.65033682154128658</v>
      </c>
      <c r="L16" s="48">
        <f t="shared" si="1"/>
        <v>0.34966317845871342</v>
      </c>
      <c r="M16" s="23">
        <v>2317289</v>
      </c>
      <c r="N16" s="24">
        <v>2582148.0524172098</v>
      </c>
      <c r="O16" s="24">
        <v>1271712</v>
      </c>
      <c r="P16" s="24">
        <v>59107021.100000001</v>
      </c>
      <c r="Q16" s="24">
        <v>49878030.600000001</v>
      </c>
      <c r="R16" s="24">
        <v>9382020.3288692292</v>
      </c>
    </row>
    <row r="17" spans="1:20" ht="15" x14ac:dyDescent="0.25">
      <c r="A17" s="20">
        <v>2009</v>
      </c>
      <c r="B17" s="21">
        <f t="shared" si="2"/>
        <v>0.89363607171280868</v>
      </c>
      <c r="C17" s="25">
        <f t="shared" si="3"/>
        <v>-4.6800473439011911</v>
      </c>
      <c r="D17" s="25">
        <f t="shared" si="4"/>
        <v>-6.4159307958515654</v>
      </c>
      <c r="E17" s="25">
        <f t="shared" si="5"/>
        <v>-1.7914532421956375</v>
      </c>
      <c r="F17" s="47">
        <f t="shared" si="5"/>
        <v>5.5569790245262991E-2</v>
      </c>
      <c r="G17" s="25">
        <f t="shared" si="6"/>
        <v>-2.6849990623922793</v>
      </c>
      <c r="H17" s="25">
        <f t="shared" si="7"/>
        <v>0.16698061960944699</v>
      </c>
      <c r="I17" s="26">
        <f t="shared" si="8"/>
        <v>0.66720814442277288</v>
      </c>
      <c r="J17" s="26">
        <f t="shared" si="8"/>
        <v>0.33279185557722718</v>
      </c>
      <c r="K17" s="22">
        <f t="shared" si="0"/>
        <v>0.68407946730425906</v>
      </c>
      <c r="L17" s="48">
        <f t="shared" si="1"/>
        <v>0.31592053269574094</v>
      </c>
      <c r="M17" s="23">
        <v>2224646</v>
      </c>
      <c r="N17" s="24">
        <v>2421681.9587552599</v>
      </c>
      <c r="O17" s="24">
        <v>1278780</v>
      </c>
      <c r="P17" s="24">
        <v>57541114.5</v>
      </c>
      <c r="Q17" s="24">
        <v>48351130.899999999</v>
      </c>
      <c r="R17" s="24">
        <v>9397699.5715514105</v>
      </c>
    </row>
    <row r="18" spans="1:20" ht="15" x14ac:dyDescent="0.25">
      <c r="A18" s="20">
        <v>2010</v>
      </c>
      <c r="B18" s="21">
        <f t="shared" si="2"/>
        <v>0.92214203396288374</v>
      </c>
      <c r="C18" s="25">
        <f t="shared" si="3"/>
        <v>3.140064786991775</v>
      </c>
      <c r="D18" s="25">
        <f t="shared" si="4"/>
        <v>4.5050093792260881</v>
      </c>
      <c r="E18" s="25">
        <f t="shared" si="5"/>
        <v>1.210306214832934</v>
      </c>
      <c r="F18" s="47">
        <f t="shared" si="5"/>
        <v>0.15463837740137948</v>
      </c>
      <c r="G18" s="25">
        <f t="shared" si="6"/>
        <v>1.791450690717511</v>
      </c>
      <c r="H18" s="25">
        <f t="shared" si="7"/>
        <v>0.47669218155341753</v>
      </c>
      <c r="I18" s="26">
        <f t="shared" si="8"/>
        <v>0.67560118796693347</v>
      </c>
      <c r="J18" s="26">
        <f t="shared" si="8"/>
        <v>0.32439881203306647</v>
      </c>
      <c r="K18" s="22">
        <f t="shared" si="0"/>
        <v>0.66712290862960799</v>
      </c>
      <c r="L18" s="48">
        <f t="shared" si="1"/>
        <v>0.33287709137039201</v>
      </c>
      <c r="M18" s="23">
        <v>2341962</v>
      </c>
      <c r="N18" s="24">
        <v>2533273.6948040901</v>
      </c>
      <c r="O18" s="24">
        <v>1317103</v>
      </c>
      <c r="P18" s="24">
        <v>58581223.899999999</v>
      </c>
      <c r="Q18" s="24">
        <v>49384707</v>
      </c>
      <c r="R18" s="24">
        <v>9442604.61503716</v>
      </c>
    </row>
    <row r="19" spans="1:20" ht="15" x14ac:dyDescent="0.25">
      <c r="A19" s="20">
        <v>2011</v>
      </c>
      <c r="B19" s="21">
        <f t="shared" si="2"/>
        <v>0.94642740118318647</v>
      </c>
      <c r="C19" s="25">
        <f t="shared" si="3"/>
        <v>2.5995003769237566</v>
      </c>
      <c r="D19" s="25">
        <f t="shared" si="4"/>
        <v>3.6785757092697935</v>
      </c>
      <c r="E19" s="25">
        <f t="shared" si="5"/>
        <v>0.8420366805028795</v>
      </c>
      <c r="F19" s="47">
        <f t="shared" si="5"/>
        <v>0.23703865184315739</v>
      </c>
      <c r="G19" s="25">
        <f t="shared" si="6"/>
        <v>1.2667146079145652</v>
      </c>
      <c r="H19" s="25">
        <f t="shared" si="7"/>
        <v>0.70703067795427899</v>
      </c>
      <c r="I19" s="26">
        <f t="shared" si="8"/>
        <v>0.66474064105817232</v>
      </c>
      <c r="J19" s="26">
        <f t="shared" si="8"/>
        <v>0.33525935894182768</v>
      </c>
      <c r="K19" s="22">
        <f t="shared" si="0"/>
        <v>0.66235837348673665</v>
      </c>
      <c r="L19" s="48">
        <f t="shared" si="1"/>
        <v>0.33764162651326335</v>
      </c>
      <c r="M19" s="23">
        <v>2452463</v>
      </c>
      <c r="N19" s="24">
        <v>2628197.3000191101</v>
      </c>
      <c r="O19" s="24">
        <v>1373460</v>
      </c>
      <c r="P19" s="24">
        <v>59328000.600000001</v>
      </c>
      <c r="Q19" s="24">
        <v>50162622.5</v>
      </c>
      <c r="R19" s="24">
        <v>9509603.2979836501</v>
      </c>
    </row>
    <row r="20" spans="1:20" ht="15" x14ac:dyDescent="0.25">
      <c r="A20" s="20">
        <v>2012</v>
      </c>
      <c r="B20" s="21">
        <f t="shared" si="2"/>
        <v>0.95121412970574037</v>
      </c>
      <c r="C20" s="25">
        <f t="shared" si="3"/>
        <v>0.50449345643326882</v>
      </c>
      <c r="D20" s="25">
        <f t="shared" si="4"/>
        <v>0.50394159275874983</v>
      </c>
      <c r="E20" s="25">
        <f t="shared" si="5"/>
        <v>-0.20854601629851813</v>
      </c>
      <c r="F20" s="47">
        <f t="shared" si="5"/>
        <v>0.20799415262399906</v>
      </c>
      <c r="G20" s="25">
        <f t="shared" si="6"/>
        <v>-0.31195671403345671</v>
      </c>
      <c r="H20" s="25">
        <f t="shared" si="7"/>
        <v>0.62745125806102919</v>
      </c>
      <c r="I20" s="26">
        <f t="shared" si="8"/>
        <v>0.66850946595158711</v>
      </c>
      <c r="J20" s="26">
        <f t="shared" si="8"/>
        <v>0.33149053404841283</v>
      </c>
      <c r="K20" s="22">
        <f t="shared" si="0"/>
        <v>0.67466055841643768</v>
      </c>
      <c r="L20" s="48">
        <f t="shared" si="1"/>
        <v>0.32533944158356232</v>
      </c>
      <c r="M20" s="23">
        <v>2500201</v>
      </c>
      <c r="N20" s="24">
        <v>2641475.3079556501</v>
      </c>
      <c r="O20" s="24">
        <v>1428808</v>
      </c>
      <c r="P20" s="24">
        <v>59143211.299999997</v>
      </c>
      <c r="Q20" s="24">
        <v>50097785.5</v>
      </c>
      <c r="R20" s="24">
        <v>9569459.0098479893</v>
      </c>
    </row>
    <row r="21" spans="1:20" ht="15" x14ac:dyDescent="0.25">
      <c r="A21" s="20">
        <v>2013</v>
      </c>
      <c r="B21" s="21">
        <f t="shared" si="2"/>
        <v>0.95408761964400057</v>
      </c>
      <c r="C21" s="25">
        <f t="shared" si="3"/>
        <v>0.30163118444181158</v>
      </c>
      <c r="D21" s="25">
        <f t="shared" si="4"/>
        <v>0.45883852647641277</v>
      </c>
      <c r="E21" s="25">
        <f t="shared" si="5"/>
        <v>5.9388317917566866E-3</v>
      </c>
      <c r="F21" s="47">
        <f t="shared" si="5"/>
        <v>0.15126851024284452</v>
      </c>
      <c r="G21" s="25">
        <f t="shared" si="6"/>
        <v>8.7840543415040884E-3</v>
      </c>
      <c r="H21" s="25">
        <f t="shared" si="7"/>
        <v>0.46701120594221379</v>
      </c>
      <c r="I21" s="26">
        <f t="shared" si="8"/>
        <v>0.67609233286457382</v>
      </c>
      <c r="J21" s="26">
        <f t="shared" si="8"/>
        <v>0.32390766713542612</v>
      </c>
      <c r="K21" s="22">
        <f t="shared" si="0"/>
        <v>0.67752410731271007</v>
      </c>
      <c r="L21" s="48">
        <f t="shared" si="1"/>
        <v>0.32247589268728993</v>
      </c>
      <c r="M21" s="23">
        <v>2556738</v>
      </c>
      <c r="N21" s="24">
        <v>2653623.2627714998</v>
      </c>
      <c r="O21" s="24">
        <v>1471443</v>
      </c>
      <c r="P21" s="24">
        <v>59148406.700000003</v>
      </c>
      <c r="Q21" s="24">
        <v>50242994.399999999</v>
      </c>
      <c r="R21" s="24">
        <v>9614253.97310647</v>
      </c>
    </row>
    <row r="22" spans="1:20" ht="15" x14ac:dyDescent="0.25">
      <c r="A22" s="20">
        <v>2014</v>
      </c>
      <c r="B22" s="21">
        <f t="shared" si="2"/>
        <v>0.96552626945997766</v>
      </c>
      <c r="C22" s="25">
        <f t="shared" si="3"/>
        <v>1.1917797917864816</v>
      </c>
      <c r="D22" s="25">
        <f t="shared" si="4"/>
        <v>2.2110819667313208</v>
      </c>
      <c r="E22" s="25">
        <f t="shared" si="5"/>
        <v>0.80676837762137066</v>
      </c>
      <c r="F22" s="47">
        <f t="shared" si="5"/>
        <v>0.21253379732346875</v>
      </c>
      <c r="G22" s="25">
        <f t="shared" si="6"/>
        <v>1.1936655267149376</v>
      </c>
      <c r="H22" s="25">
        <f t="shared" si="7"/>
        <v>0.65571500777714675</v>
      </c>
      <c r="I22" s="26">
        <f t="shared" si="8"/>
        <v>0.67587474008875947</v>
      </c>
      <c r="J22" s="26">
        <f t="shared" si="8"/>
        <v>0.32412525991124047</v>
      </c>
      <c r="K22" s="22">
        <f t="shared" si="0"/>
        <v>0.67422537286480899</v>
      </c>
      <c r="L22" s="48">
        <f t="shared" si="1"/>
        <v>0.32577462713519101</v>
      </c>
      <c r="M22" s="23">
        <v>2662791</v>
      </c>
      <c r="N22" s="24">
        <v>2712950.5183099499</v>
      </c>
      <c r="O22" s="24">
        <v>1531870</v>
      </c>
      <c r="P22" s="24">
        <v>59858671.5</v>
      </c>
      <c r="Q22" s="24">
        <v>51074816.200000003</v>
      </c>
      <c r="R22" s="24">
        <v>9677503.2200732604</v>
      </c>
    </row>
    <row r="23" spans="1:20" ht="15" x14ac:dyDescent="0.25">
      <c r="A23" s="20">
        <v>2015</v>
      </c>
      <c r="B23" s="21">
        <f t="shared" si="2"/>
        <v>0.97074884030524689</v>
      </c>
      <c r="C23" s="25">
        <f t="shared" si="3"/>
        <v>0.5394464333880129</v>
      </c>
      <c r="D23" s="25">
        <f t="shared" si="4"/>
        <v>1.4268232592469232</v>
      </c>
      <c r="E23" s="25">
        <f t="shared" si="5"/>
        <v>0.67523048368443839</v>
      </c>
      <c r="F23" s="47">
        <f t="shared" si="5"/>
        <v>0.21214634217447192</v>
      </c>
      <c r="G23" s="25">
        <f t="shared" si="6"/>
        <v>1.0002318048641712</v>
      </c>
      <c r="H23" s="25">
        <f t="shared" si="7"/>
        <v>0.65290663421997408</v>
      </c>
      <c r="I23" s="26">
        <f t="shared" si="8"/>
        <v>0.67507399824796899</v>
      </c>
      <c r="J23" s="26">
        <f t="shared" si="8"/>
        <v>0.32492600175203096</v>
      </c>
      <c r="K23" s="22">
        <f t="shared" si="0"/>
        <v>0.67592262363112909</v>
      </c>
      <c r="L23" s="48">
        <f t="shared" si="1"/>
        <v>0.32407737636887091</v>
      </c>
      <c r="M23" s="23">
        <v>2751937</v>
      </c>
      <c r="N23" s="24">
        <v>2751937</v>
      </c>
      <c r="O23" s="24">
        <v>1594004</v>
      </c>
      <c r="P23" s="24">
        <v>60460401.299999997</v>
      </c>
      <c r="Q23" s="24">
        <v>51811356.399999999</v>
      </c>
      <c r="R23" s="24">
        <v>9740895</v>
      </c>
    </row>
    <row r="24" spans="1:20" ht="15" x14ac:dyDescent="0.25">
      <c r="A24" s="20">
        <v>2016</v>
      </c>
      <c r="B24" s="21">
        <f t="shared" si="2"/>
        <v>0.98561711960951282</v>
      </c>
      <c r="C24" s="25">
        <f t="shared" si="3"/>
        <v>1.5200188388929914</v>
      </c>
      <c r="D24" s="25">
        <f t="shared" si="4"/>
        <v>2.3537659483761075</v>
      </c>
      <c r="E24" s="25">
        <f t="shared" si="5"/>
        <v>0.57599480552789539</v>
      </c>
      <c r="F24" s="47">
        <f t="shared" si="5"/>
        <v>0.25775230395522081</v>
      </c>
      <c r="G24" s="25">
        <f t="shared" si="6"/>
        <v>0.85285492019480102</v>
      </c>
      <c r="H24" s="25">
        <f t="shared" si="7"/>
        <v>0.79399418325110105</v>
      </c>
      <c r="I24" s="26">
        <f t="shared" si="8"/>
        <v>0.67537255386453321</v>
      </c>
      <c r="J24" s="26">
        <f t="shared" si="8"/>
        <v>0.32462744613546685</v>
      </c>
      <c r="K24" s="22">
        <f t="shared" si="0"/>
        <v>0.67482248409793721</v>
      </c>
      <c r="L24" s="48">
        <f t="shared" si="1"/>
        <v>0.32517751590206279</v>
      </c>
      <c r="M24" s="23">
        <v>2853046</v>
      </c>
      <c r="N24" s="24">
        <v>2817479.4884469202</v>
      </c>
      <c r="O24" s="24">
        <v>1657401</v>
      </c>
      <c r="P24" s="24">
        <v>60978245.899999999</v>
      </c>
      <c r="Q24" s="24">
        <v>52493339.899999999</v>
      </c>
      <c r="R24" s="24">
        <v>9818545</v>
      </c>
    </row>
    <row r="25" spans="1:20" ht="15" x14ac:dyDescent="0.25">
      <c r="A25" s="20">
        <v>2017</v>
      </c>
      <c r="B25" s="21">
        <f t="shared" si="2"/>
        <v>1.0048408551762533</v>
      </c>
      <c r="C25" s="25">
        <f t="shared" si="3"/>
        <v>1.9316492533471379</v>
      </c>
      <c r="D25" s="25">
        <f t="shared" si="4"/>
        <v>2.7591365082420438</v>
      </c>
      <c r="E25" s="25">
        <f t="shared" si="5"/>
        <v>0.55637022449152995</v>
      </c>
      <c r="F25" s="47">
        <f t="shared" si="5"/>
        <v>0.27111703040337592</v>
      </c>
      <c r="G25" s="25">
        <f t="shared" si="6"/>
        <v>0.82583060598437896</v>
      </c>
      <c r="H25" s="25">
        <f t="shared" si="7"/>
        <v>0.8309078324252539</v>
      </c>
      <c r="I25" s="26">
        <f t="shared" si="8"/>
        <v>0.67370986308789571</v>
      </c>
      <c r="J25" s="26">
        <f t="shared" si="8"/>
        <v>0.32629013691210429</v>
      </c>
      <c r="K25" s="22">
        <f t="shared" si="0"/>
        <v>0.67259724207785421</v>
      </c>
      <c r="L25" s="48">
        <f t="shared" si="1"/>
        <v>0.32740275792214579</v>
      </c>
      <c r="M25" s="23">
        <v>2975318</v>
      </c>
      <c r="N25" s="24">
        <v>2896299.9757141899</v>
      </c>
      <c r="O25" s="24">
        <v>1732387</v>
      </c>
      <c r="P25" s="24">
        <v>61483908</v>
      </c>
      <c r="Q25" s="24">
        <v>53225274.299999997</v>
      </c>
      <c r="R25" s="24">
        <v>9900467.9401636291</v>
      </c>
    </row>
    <row r="26" spans="1:20" ht="15" x14ac:dyDescent="0.25">
      <c r="A26" s="20">
        <v>2018</v>
      </c>
      <c r="B26" s="21">
        <f t="shared" si="2"/>
        <v>1.0084896235915692</v>
      </c>
      <c r="C26" s="25">
        <f t="shared" si="3"/>
        <v>0.36246134934465452</v>
      </c>
      <c r="D26" s="25">
        <f t="shared" si="4"/>
        <v>1.192625977740569</v>
      </c>
      <c r="E26" s="25">
        <f t="shared" si="5"/>
        <v>0.52648848953612182</v>
      </c>
      <c r="F26" s="47">
        <f t="shared" si="5"/>
        <v>0.30367613885979267</v>
      </c>
      <c r="G26" s="25">
        <f t="shared" si="6"/>
        <v>0.77808262761891456</v>
      </c>
      <c r="H26" s="25">
        <f t="shared" si="7"/>
        <v>0.93915196065275097</v>
      </c>
      <c r="I26" s="26">
        <f t="shared" si="8"/>
        <v>0.67664855999584494</v>
      </c>
      <c r="J26" s="26">
        <f t="shared" si="8"/>
        <v>0.32335144000415511</v>
      </c>
      <c r="K26" s="22">
        <f t="shared" si="0"/>
        <v>0.68069987791383557</v>
      </c>
      <c r="L26" s="48">
        <f t="shared" si="1"/>
        <v>0.31930012208616443</v>
      </c>
      <c r="M26" s="23">
        <v>3066416</v>
      </c>
      <c r="N26" s="24">
        <v>2931048.8015036099</v>
      </c>
      <c r="O26" s="24">
        <v>1816102</v>
      </c>
      <c r="P26" s="24">
        <v>61964169.600000001</v>
      </c>
      <c r="Q26" s="24">
        <v>53913077.799999997</v>
      </c>
      <c r="R26" s="24">
        <v>9993886.3627818897</v>
      </c>
    </row>
    <row r="27" spans="1:20" ht="15" x14ac:dyDescent="0.25">
      <c r="A27" s="20">
        <f>A26+1</f>
        <v>2019</v>
      </c>
      <c r="B27" s="21">
        <f t="shared" si="2"/>
        <v>1.0106914422761577</v>
      </c>
      <c r="C27" s="25">
        <f t="shared" si="3"/>
        <v>0.21809035301732671</v>
      </c>
      <c r="D27" s="25">
        <f t="shared" si="4"/>
        <v>0.70115069986922407</v>
      </c>
      <c r="E27" s="25">
        <f t="shared" si="5"/>
        <v>0.19522711747055266</v>
      </c>
      <c r="F27" s="47">
        <f t="shared" si="5"/>
        <v>0.2878332293813447</v>
      </c>
      <c r="G27" s="25">
        <f t="shared" si="6"/>
        <v>0.2853785341365267</v>
      </c>
      <c r="H27" s="25">
        <f t="shared" si="7"/>
        <v>0.91114957606244218</v>
      </c>
      <c r="I27" s="26">
        <f t="shared" si="8"/>
        <v>0.68409881654642923</v>
      </c>
      <c r="J27" s="26">
        <f t="shared" si="8"/>
        <v>0.31590118345357071</v>
      </c>
      <c r="K27" s="22">
        <f t="shared" si="0"/>
        <v>0.68749775517902301</v>
      </c>
      <c r="L27" s="48">
        <f t="shared" si="1"/>
        <v>0.31250224482097699</v>
      </c>
      <c r="M27" s="23">
        <v>3159273</v>
      </c>
      <c r="N27" s="24">
        <v>2951672.0863531199</v>
      </c>
      <c r="O27" s="24">
        <v>1899063</v>
      </c>
      <c r="P27" s="24">
        <v>62141254.600000001</v>
      </c>
      <c r="Q27" s="24">
        <v>54332657.700000003</v>
      </c>
      <c r="R27" s="24">
        <v>10085361.7218304</v>
      </c>
    </row>
    <row r="28" spans="1:20" ht="15" x14ac:dyDescent="0.25">
      <c r="A28" s="20">
        <f t="shared" ref="A28:A30" si="9">A27+1</f>
        <v>2020</v>
      </c>
      <c r="B28" s="21">
        <v>1</v>
      </c>
      <c r="C28" s="25">
        <f t="shared" si="3"/>
        <v>-1.0634692937035057</v>
      </c>
      <c r="D28" s="25">
        <f t="shared" si="4"/>
        <v>-4.382548089896332</v>
      </c>
      <c r="E28" s="25">
        <f t="shared" si="5"/>
        <v>-3.5057068074263493</v>
      </c>
      <c r="F28" s="47">
        <f t="shared" si="5"/>
        <v>0.1866280112335231</v>
      </c>
      <c r="G28" s="25">
        <f t="shared" si="6"/>
        <v>-5.0757224609512264</v>
      </c>
      <c r="H28" s="25">
        <f t="shared" si="7"/>
        <v>0.60335193877456561</v>
      </c>
      <c r="I28" s="26">
        <f t="shared" si="8"/>
        <v>0.69068134327607722</v>
      </c>
      <c r="J28" s="26">
        <f t="shared" si="8"/>
        <v>0.30931865672392272</v>
      </c>
      <c r="K28" s="22">
        <f t="shared" si="0"/>
        <v>0.69386493137313154</v>
      </c>
      <c r="L28" s="48">
        <f t="shared" si="1"/>
        <v>0.30613506862686846</v>
      </c>
      <c r="M28" s="23">
        <v>3098997</v>
      </c>
      <c r="N28" s="24">
        <v>2825107.2763610198</v>
      </c>
      <c r="O28" s="24">
        <v>1894056</v>
      </c>
      <c r="P28" s="24">
        <v>59065846.799999997</v>
      </c>
      <c r="Q28" s="24">
        <v>52027523.700000003</v>
      </c>
      <c r="R28" s="24">
        <v>10146395.887568699</v>
      </c>
    </row>
    <row r="29" spans="1:20" ht="15" x14ac:dyDescent="0.25">
      <c r="A29" s="20">
        <f t="shared" si="9"/>
        <v>2021</v>
      </c>
      <c r="B29" s="21">
        <f>B28*EXP(C29/100)</f>
        <v>1.021114035942523</v>
      </c>
      <c r="C29" s="25">
        <f t="shared" si="3"/>
        <v>2.0894223388830797</v>
      </c>
      <c r="D29" s="25">
        <f t="shared" si="4"/>
        <v>3.7295785987184971</v>
      </c>
      <c r="E29" s="25">
        <f t="shared" si="5"/>
        <v>1.5409560067476931</v>
      </c>
      <c r="F29" s="47">
        <f t="shared" si="5"/>
        <v>9.9200253087724122E-2</v>
      </c>
      <c r="G29" s="25">
        <f t="shared" si="6"/>
        <v>2.2504079424788159</v>
      </c>
      <c r="H29" s="25">
        <f t="shared" si="7"/>
        <v>0.31466689454369146</v>
      </c>
      <c r="I29" s="26">
        <f t="shared" si="8"/>
        <v>0.68474518671060847</v>
      </c>
      <c r="J29" s="26">
        <f t="shared" si="8"/>
        <v>0.31525481328939159</v>
      </c>
      <c r="K29" s="22">
        <f t="shared" si="0"/>
        <v>0.67562544204808528</v>
      </c>
      <c r="L29" s="48">
        <f t="shared" si="1"/>
        <v>0.32437455795191472</v>
      </c>
      <c r="M29" s="23">
        <v>3288243</v>
      </c>
      <c r="N29" s="24">
        <v>2932461.3565092199</v>
      </c>
      <c r="O29" s="24">
        <v>1963032</v>
      </c>
      <c r="P29" s="24">
        <v>60410138.600000001</v>
      </c>
      <c r="Q29" s="24">
        <v>53378616.299999997</v>
      </c>
      <c r="R29" s="24">
        <v>10178373.521544499</v>
      </c>
    </row>
    <row r="30" spans="1:20" ht="15" x14ac:dyDescent="0.25">
      <c r="A30" s="20">
        <f t="shared" si="9"/>
        <v>2022</v>
      </c>
      <c r="B30" s="27">
        <f t="shared" ref="B30" si="10">B29*EXP(C30/100)</f>
        <v>1.0272317147309711</v>
      </c>
      <c r="C30" s="28">
        <f t="shared" si="3"/>
        <v>0.59733050209068073</v>
      </c>
      <c r="D30" s="25">
        <f t="shared" si="4"/>
        <v>1.7192398685740073</v>
      </c>
      <c r="E30" s="28">
        <f t="shared" si="5"/>
        <v>0.97259385407014998</v>
      </c>
      <c r="F30" s="51">
        <f t="shared" si="5"/>
        <v>0.14931551241317667</v>
      </c>
      <c r="G30" s="25">
        <f t="shared" si="6"/>
        <v>1.4574043360383371</v>
      </c>
      <c r="H30" s="25">
        <f t="shared" si="7"/>
        <v>0.4488621498968115</v>
      </c>
      <c r="I30" s="26">
        <f t="shared" si="8"/>
        <v>0.66734661755841373</v>
      </c>
      <c r="J30" s="26">
        <f t="shared" si="8"/>
        <v>0.33265338244158632</v>
      </c>
      <c r="K30" s="22">
        <f t="shared" si="0"/>
        <v>0.65906779306874208</v>
      </c>
      <c r="L30" s="48">
        <f t="shared" si="1"/>
        <v>0.34093220693125792</v>
      </c>
      <c r="M30" s="23">
        <v>3562822</v>
      </c>
      <c r="N30" s="23">
        <v>2983313.2820140002</v>
      </c>
      <c r="O30" s="23">
        <v>2081653</v>
      </c>
      <c r="P30" s="24">
        <v>61297005.5</v>
      </c>
      <c r="Q30" s="24">
        <v>54340468.799999997</v>
      </c>
      <c r="R30" s="24">
        <v>10224163.076869501</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75EFF-D4F1-4447-9072-5821F7C89E0E}">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61</v>
      </c>
      <c r="B1" s="16"/>
    </row>
    <row r="2" spans="1:18" ht="104.25" customHeight="1"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0.54902403589643345</v>
      </c>
      <c r="L9" s="48">
        <f t="shared" ref="L9:L30" si="1">1-K9</f>
        <v>0.45097596410356655</v>
      </c>
      <c r="M9" s="23">
        <v>6231.974956</v>
      </c>
      <c r="N9" s="24">
        <v>11513.2828641585</v>
      </c>
      <c r="O9" s="24">
        <v>3101.8768190000001</v>
      </c>
      <c r="P9" s="24">
        <v>1159833.8999999999</v>
      </c>
      <c r="Q9" s="24">
        <v>1051485.5</v>
      </c>
      <c r="R9" s="24">
        <v>34244.510183804297</v>
      </c>
    </row>
    <row r="10" spans="1:18" ht="15" x14ac:dyDescent="0.25">
      <c r="A10" s="20">
        <v>2002</v>
      </c>
      <c r="B10" s="21">
        <f t="shared" ref="B10:B27" si="2">B11*EXP(-C11/100)</f>
        <v>0.78307488933829494</v>
      </c>
      <c r="C10" s="25">
        <f t="shared" ref="C10:C30" si="3">D10-E10-F10</f>
        <v>3.9549420349085946</v>
      </c>
      <c r="D10" s="25">
        <f t="shared" ref="D10:D30" si="4">(LN(N10)-LN(N9))*100</f>
        <v>6.3968187137174226</v>
      </c>
      <c r="E10" s="25">
        <f t="shared" ref="E10:F30" si="5">I10*G10</f>
        <v>5.1413434517718244E-2</v>
      </c>
      <c r="F10" s="47">
        <f t="shared" si="5"/>
        <v>2.39046324429111</v>
      </c>
      <c r="G10" s="25">
        <f t="shared" ref="G10:G30" si="6">(LN(P10)-LN(P9))*100</f>
        <v>9.4244938833121239E-2</v>
      </c>
      <c r="H10" s="25">
        <f t="shared" ref="H10:H30" si="7">(LN(R10)-LN(R9))*100</f>
        <v>5.259891424360319</v>
      </c>
      <c r="I10" s="26">
        <f t="shared" ref="I10:J30" si="8">(K10+K9)/2</f>
        <v>0.54552992610834627</v>
      </c>
      <c r="J10" s="26">
        <f t="shared" si="8"/>
        <v>0.45447007389165373</v>
      </c>
      <c r="K10" s="22">
        <f t="shared" si="0"/>
        <v>0.5420358163202591</v>
      </c>
      <c r="L10" s="48">
        <f t="shared" si="1"/>
        <v>0.4579641836797409</v>
      </c>
      <c r="M10" s="23">
        <v>6964.8494979999996</v>
      </c>
      <c r="N10" s="24">
        <v>12273.832874297899</v>
      </c>
      <c r="O10" s="24">
        <v>3424.848047</v>
      </c>
      <c r="P10" s="24">
        <v>1160927.5</v>
      </c>
      <c r="Q10" s="24">
        <v>1053189.8999999999</v>
      </c>
      <c r="R10" s="24">
        <v>36093.9470487406</v>
      </c>
    </row>
    <row r="11" spans="1:18" ht="15" x14ac:dyDescent="0.25">
      <c r="A11" s="20">
        <v>2003</v>
      </c>
      <c r="B11" s="21">
        <f t="shared" si="2"/>
        <v>0.80841776603495585</v>
      </c>
      <c r="C11" s="25">
        <f t="shared" si="3"/>
        <v>3.1850626547999181</v>
      </c>
      <c r="D11" s="25">
        <f t="shared" si="4"/>
        <v>7.3992376044161645</v>
      </c>
      <c r="E11" s="25">
        <f t="shared" si="5"/>
        <v>1.3090178823636736</v>
      </c>
      <c r="F11" s="47">
        <f t="shared" si="5"/>
        <v>2.9051570672525728</v>
      </c>
      <c r="G11" s="25">
        <f t="shared" si="6"/>
        <v>2.4042468897970792</v>
      </c>
      <c r="H11" s="25">
        <f t="shared" si="7"/>
        <v>6.3774012520743995</v>
      </c>
      <c r="I11" s="26">
        <f t="shared" si="8"/>
        <v>0.54446067411743893</v>
      </c>
      <c r="J11" s="26">
        <f t="shared" si="8"/>
        <v>0.45553932588256107</v>
      </c>
      <c r="K11" s="22">
        <f t="shared" si="0"/>
        <v>0.54688553191461875</v>
      </c>
      <c r="L11" s="48">
        <f t="shared" si="1"/>
        <v>0.45311446808538125</v>
      </c>
      <c r="M11" s="23">
        <v>7809.9264560000001</v>
      </c>
      <c r="N11" s="24">
        <v>13216.446006582401</v>
      </c>
      <c r="O11" s="24">
        <v>3849.5050019999999</v>
      </c>
      <c r="P11" s="24">
        <v>1189177.3</v>
      </c>
      <c r="Q11" s="24">
        <v>1071786.1000000001</v>
      </c>
      <c r="R11" s="24">
        <v>38470.787691195197</v>
      </c>
    </row>
    <row r="12" spans="1:18" ht="15" x14ac:dyDescent="0.25">
      <c r="A12" s="20">
        <v>2004</v>
      </c>
      <c r="B12" s="21">
        <f t="shared" si="2"/>
        <v>0.836571280986947</v>
      </c>
      <c r="C12" s="25">
        <f t="shared" si="3"/>
        <v>3.4232768094535624</v>
      </c>
      <c r="D12" s="25">
        <f t="shared" si="4"/>
        <v>6.0683757540166638</v>
      </c>
      <c r="E12" s="25">
        <f t="shared" si="5"/>
        <v>5.3653065634081086E-3</v>
      </c>
      <c r="F12" s="47">
        <f t="shared" si="5"/>
        <v>2.6397336379996936</v>
      </c>
      <c r="G12" s="25">
        <f t="shared" si="6"/>
        <v>9.7793923057309939E-3</v>
      </c>
      <c r="H12" s="25">
        <f t="shared" si="7"/>
        <v>5.8483211101034271</v>
      </c>
      <c r="I12" s="26">
        <f t="shared" si="8"/>
        <v>0.54863394326290504</v>
      </c>
      <c r="J12" s="26">
        <f t="shared" si="8"/>
        <v>0.45136605673709496</v>
      </c>
      <c r="K12" s="22">
        <f t="shared" si="0"/>
        <v>0.55038235461119134</v>
      </c>
      <c r="L12" s="48">
        <f t="shared" si="1"/>
        <v>0.44961764538880866</v>
      </c>
      <c r="M12" s="23">
        <v>8666.8397700000005</v>
      </c>
      <c r="N12" s="24">
        <v>14043.3043184038</v>
      </c>
      <c r="O12" s="24">
        <v>4267.166698</v>
      </c>
      <c r="P12" s="24">
        <v>1189293.6000000001</v>
      </c>
      <c r="Q12" s="24">
        <v>1063906.3999999999</v>
      </c>
      <c r="R12" s="24">
        <v>40787.774957729896</v>
      </c>
    </row>
    <row r="13" spans="1:18" ht="15" x14ac:dyDescent="0.25">
      <c r="A13" s="20">
        <v>2005</v>
      </c>
      <c r="B13" s="21">
        <f t="shared" si="2"/>
        <v>0.87330305662708918</v>
      </c>
      <c r="C13" s="25">
        <f t="shared" si="3"/>
        <v>4.2970909331892919</v>
      </c>
      <c r="D13" s="25">
        <f t="shared" si="4"/>
        <v>9.1095639867875278</v>
      </c>
      <c r="E13" s="25">
        <f t="shared" si="5"/>
        <v>1.8137304429816961</v>
      </c>
      <c r="F13" s="47">
        <f t="shared" si="5"/>
        <v>2.99874261061654</v>
      </c>
      <c r="G13" s="25">
        <f t="shared" si="6"/>
        <v>3.3432920066710281</v>
      </c>
      <c r="H13" s="25">
        <f t="shared" si="7"/>
        <v>6.5546052137685606</v>
      </c>
      <c r="I13" s="26">
        <f t="shared" si="8"/>
        <v>0.54249836369741988</v>
      </c>
      <c r="J13" s="26">
        <f t="shared" si="8"/>
        <v>0.45750163630258017</v>
      </c>
      <c r="K13" s="22">
        <f t="shared" si="0"/>
        <v>0.53461437278364832</v>
      </c>
      <c r="L13" s="48">
        <f t="shared" si="1"/>
        <v>0.46538562721635168</v>
      </c>
      <c r="M13" s="23">
        <v>10054.889164</v>
      </c>
      <c r="N13" s="24">
        <v>15382.667077256599</v>
      </c>
      <c r="O13" s="24">
        <v>4921.5692410000001</v>
      </c>
      <c r="P13" s="24">
        <v>1229727.3</v>
      </c>
      <c r="Q13" s="24">
        <v>1125886.2</v>
      </c>
      <c r="R13" s="24">
        <v>43550.816655570001</v>
      </c>
    </row>
    <row r="14" spans="1:18" ht="15" x14ac:dyDescent="0.25">
      <c r="A14" s="20">
        <v>2006</v>
      </c>
      <c r="B14" s="21">
        <f t="shared" si="2"/>
        <v>0.89780568359120372</v>
      </c>
      <c r="C14" s="25">
        <f t="shared" si="3"/>
        <v>2.7671017402037412</v>
      </c>
      <c r="D14" s="25">
        <f t="shared" si="4"/>
        <v>8.8854981911802966</v>
      </c>
      <c r="E14" s="25">
        <f t="shared" si="5"/>
        <v>2.3694765041092345</v>
      </c>
      <c r="F14" s="47">
        <f t="shared" si="5"/>
        <v>3.7489199468673204</v>
      </c>
      <c r="G14" s="25">
        <f t="shared" si="6"/>
        <v>4.3994451670053891</v>
      </c>
      <c r="H14" s="25">
        <f t="shared" si="7"/>
        <v>8.1248385963775149</v>
      </c>
      <c r="I14" s="26">
        <f t="shared" si="8"/>
        <v>0.53858530204664146</v>
      </c>
      <c r="J14" s="26">
        <f t="shared" si="8"/>
        <v>0.46141469795335854</v>
      </c>
      <c r="K14" s="22">
        <f t="shared" si="0"/>
        <v>0.5425562313096346</v>
      </c>
      <c r="L14" s="48">
        <f t="shared" si="1"/>
        <v>0.4574437686903654</v>
      </c>
      <c r="M14" s="23">
        <v>11937.455507000001</v>
      </c>
      <c r="N14" s="24">
        <v>16812.057595616501</v>
      </c>
      <c r="O14" s="24">
        <v>5900.4078140000001</v>
      </c>
      <c r="P14" s="24">
        <v>1285036.2</v>
      </c>
      <c r="Q14" s="24">
        <v>1170687.2</v>
      </c>
      <c r="R14" s="24">
        <v>47236.969646210797</v>
      </c>
    </row>
    <row r="15" spans="1:18" ht="15" x14ac:dyDescent="0.25">
      <c r="A15" s="20">
        <v>2007</v>
      </c>
      <c r="B15" s="21">
        <f t="shared" si="2"/>
        <v>0.92601865933495298</v>
      </c>
      <c r="C15" s="25">
        <f t="shared" si="3"/>
        <v>3.0940728009000331</v>
      </c>
      <c r="D15" s="25">
        <f t="shared" si="4"/>
        <v>6.79112008960292</v>
      </c>
      <c r="E15" s="25">
        <f t="shared" si="5"/>
        <v>3.3979113371924739E-2</v>
      </c>
      <c r="F15" s="47">
        <f t="shared" si="5"/>
        <v>3.6630681753309622</v>
      </c>
      <c r="G15" s="25">
        <f t="shared" si="6"/>
        <v>6.1364652806084052E-2</v>
      </c>
      <c r="H15" s="25">
        <f t="shared" si="7"/>
        <v>8.2080876049429818</v>
      </c>
      <c r="I15" s="26">
        <f t="shared" si="8"/>
        <v>0.55372452736432409</v>
      </c>
      <c r="J15" s="26">
        <f t="shared" si="8"/>
        <v>0.44627547263567591</v>
      </c>
      <c r="K15" s="22">
        <f t="shared" si="0"/>
        <v>0.56489282341901359</v>
      </c>
      <c r="L15" s="48">
        <f t="shared" si="1"/>
        <v>0.43510717658098641</v>
      </c>
      <c r="M15" s="23">
        <v>14406.600221999999</v>
      </c>
      <c r="N15" s="24">
        <v>17993.4453417275</v>
      </c>
      <c r="O15" s="24">
        <v>7339.8748949999999</v>
      </c>
      <c r="P15" s="24">
        <v>1285825</v>
      </c>
      <c r="Q15" s="24">
        <v>1159692.8</v>
      </c>
      <c r="R15" s="24">
        <v>51277.790118612</v>
      </c>
    </row>
    <row r="16" spans="1:18" ht="15" x14ac:dyDescent="0.25">
      <c r="A16" s="20">
        <v>2008</v>
      </c>
      <c r="B16" s="21">
        <f t="shared" si="2"/>
        <v>0.88697368860734005</v>
      </c>
      <c r="C16" s="25">
        <f t="shared" si="3"/>
        <v>-4.3079066394623622</v>
      </c>
      <c r="D16" s="25">
        <f t="shared" si="4"/>
        <v>-3.0509571624945053</v>
      </c>
      <c r="E16" s="25">
        <f t="shared" si="5"/>
        <v>-1.0237135144219753</v>
      </c>
      <c r="F16" s="47">
        <f t="shared" si="5"/>
        <v>2.280662991389832</v>
      </c>
      <c r="G16" s="25">
        <f t="shared" si="6"/>
        <v>-1.7511009729732407</v>
      </c>
      <c r="H16" s="25">
        <f t="shared" si="7"/>
        <v>5.4904317311175177</v>
      </c>
      <c r="I16" s="26">
        <f t="shared" si="8"/>
        <v>0.58461135606805414</v>
      </c>
      <c r="J16" s="26">
        <f t="shared" si="8"/>
        <v>0.41538864393194591</v>
      </c>
      <c r="K16" s="22">
        <f t="shared" si="0"/>
        <v>0.60432988871709459</v>
      </c>
      <c r="L16" s="48">
        <f t="shared" si="1"/>
        <v>0.39567011128290541</v>
      </c>
      <c r="M16" s="23">
        <v>14805.247721</v>
      </c>
      <c r="N16" s="24">
        <v>17452.762965938899</v>
      </c>
      <c r="O16" s="24">
        <v>8195.1802900000002</v>
      </c>
      <c r="P16" s="24">
        <v>1263504.8999999999</v>
      </c>
      <c r="Q16" s="24">
        <v>1157299.3</v>
      </c>
      <c r="R16" s="24">
        <v>54171.884331583198</v>
      </c>
    </row>
    <row r="17" spans="1:20" ht="15" x14ac:dyDescent="0.25">
      <c r="A17" s="20">
        <v>2009</v>
      </c>
      <c r="B17" s="21">
        <f t="shared" si="2"/>
        <v>0.8348630606835401</v>
      </c>
      <c r="C17" s="25">
        <f t="shared" si="3"/>
        <v>-6.0547606298119243</v>
      </c>
      <c r="D17" s="25">
        <f t="shared" si="4"/>
        <v>-16.566404640996346</v>
      </c>
      <c r="E17" s="25">
        <f t="shared" si="5"/>
        <v>-11.06133408188014</v>
      </c>
      <c r="F17" s="47">
        <f t="shared" si="5"/>
        <v>0.54969007069571896</v>
      </c>
      <c r="G17" s="25">
        <f t="shared" si="6"/>
        <v>-17.901098126495363</v>
      </c>
      <c r="H17" s="25">
        <f t="shared" si="7"/>
        <v>1.4386542913612743</v>
      </c>
      <c r="I17" s="26">
        <f t="shared" si="8"/>
        <v>0.61791371700869524</v>
      </c>
      <c r="J17" s="26">
        <f t="shared" si="8"/>
        <v>0.38208628299130482</v>
      </c>
      <c r="K17" s="22">
        <f t="shared" si="0"/>
        <v>0.63149754530029578</v>
      </c>
      <c r="L17" s="48">
        <f t="shared" si="1"/>
        <v>0.36850245469970422</v>
      </c>
      <c r="M17" s="23">
        <v>12238.428685999999</v>
      </c>
      <c r="N17" s="24">
        <v>14788.264482598201</v>
      </c>
      <c r="O17" s="24">
        <v>7046.9359940000004</v>
      </c>
      <c r="P17" s="24">
        <v>1056412.3</v>
      </c>
      <c r="Q17" s="24">
        <v>963244.3</v>
      </c>
      <c r="R17" s="24">
        <v>54956.863499420302</v>
      </c>
    </row>
    <row r="18" spans="1:20" ht="15" x14ac:dyDescent="0.25">
      <c r="A18" s="20">
        <v>2010</v>
      </c>
      <c r="B18" s="21">
        <f t="shared" si="2"/>
        <v>0.87574695821874837</v>
      </c>
      <c r="C18" s="25">
        <f t="shared" si="3"/>
        <v>4.7809476507155724</v>
      </c>
      <c r="D18" s="25">
        <f t="shared" si="4"/>
        <v>3.5769293476601405</v>
      </c>
      <c r="E18" s="25">
        <f t="shared" si="5"/>
        <v>-1.6895582841328332</v>
      </c>
      <c r="F18" s="47">
        <f t="shared" si="5"/>
        <v>0.48553998107740048</v>
      </c>
      <c r="G18" s="25">
        <f t="shared" si="6"/>
        <v>-2.7726422588958854</v>
      </c>
      <c r="H18" s="25">
        <f t="shared" si="7"/>
        <v>1.2429587190718294</v>
      </c>
      <c r="I18" s="26">
        <f t="shared" si="8"/>
        <v>0.60936757301161704</v>
      </c>
      <c r="J18" s="26">
        <f t="shared" si="8"/>
        <v>0.39063242698838302</v>
      </c>
      <c r="K18" s="22">
        <f t="shared" si="0"/>
        <v>0.58723760072293818</v>
      </c>
      <c r="L18" s="48">
        <f t="shared" si="1"/>
        <v>0.41276239927706182</v>
      </c>
      <c r="M18" s="23">
        <v>12844.401367</v>
      </c>
      <c r="N18" s="24">
        <v>15326.804433654001</v>
      </c>
      <c r="O18" s="24">
        <v>6863.6168369999996</v>
      </c>
      <c r="P18" s="24">
        <v>1027524.1</v>
      </c>
      <c r="Q18" s="24">
        <v>935012.3</v>
      </c>
      <c r="R18" s="24">
        <v>55644.217540151498</v>
      </c>
    </row>
    <row r="19" spans="1:20" ht="15" x14ac:dyDescent="0.25">
      <c r="A19" s="20">
        <v>2011</v>
      </c>
      <c r="B19" s="21">
        <f t="shared" si="2"/>
        <v>0.88586062302117985</v>
      </c>
      <c r="C19" s="25">
        <f t="shared" si="3"/>
        <v>1.1482439143380383</v>
      </c>
      <c r="D19" s="25">
        <f t="shared" si="4"/>
        <v>7.6161136725223955</v>
      </c>
      <c r="E19" s="25">
        <f t="shared" si="5"/>
        <v>4.9778684980527812</v>
      </c>
      <c r="F19" s="47">
        <f t="shared" si="5"/>
        <v>1.490001260131576</v>
      </c>
      <c r="G19" s="25">
        <f t="shared" si="6"/>
        <v>8.6726144301477959</v>
      </c>
      <c r="H19" s="25">
        <f t="shared" si="7"/>
        <v>3.4974546740290435</v>
      </c>
      <c r="I19" s="26">
        <f t="shared" si="8"/>
        <v>0.57397553392304446</v>
      </c>
      <c r="J19" s="26">
        <f t="shared" si="8"/>
        <v>0.42602446607695554</v>
      </c>
      <c r="K19" s="22">
        <f t="shared" si="0"/>
        <v>0.56071346712315073</v>
      </c>
      <c r="L19" s="48">
        <f t="shared" si="1"/>
        <v>0.43928653287684927</v>
      </c>
      <c r="M19" s="23">
        <v>14643.046322</v>
      </c>
      <c r="N19" s="24">
        <v>16539.713305863199</v>
      </c>
      <c r="O19" s="24">
        <v>7451.6116030000003</v>
      </c>
      <c r="P19" s="24">
        <v>1120615.7</v>
      </c>
      <c r="Q19" s="24">
        <v>1017031.7</v>
      </c>
      <c r="R19" s="24">
        <v>57624.781608115802</v>
      </c>
    </row>
    <row r="20" spans="1:20" ht="15" x14ac:dyDescent="0.25">
      <c r="A20" s="20">
        <v>2012</v>
      </c>
      <c r="B20" s="21">
        <f t="shared" si="2"/>
        <v>0.89742683584035354</v>
      </c>
      <c r="C20" s="25">
        <f t="shared" si="3"/>
        <v>1.2971969213797672</v>
      </c>
      <c r="D20" s="25">
        <f t="shared" si="4"/>
        <v>3.1211960061304111</v>
      </c>
      <c r="E20" s="25">
        <f t="shared" si="5"/>
        <v>-7.3183514993433132E-2</v>
      </c>
      <c r="F20" s="47">
        <f t="shared" si="5"/>
        <v>1.897182599744077</v>
      </c>
      <c r="G20" s="25">
        <f t="shared" si="6"/>
        <v>-0.13047768983636132</v>
      </c>
      <c r="H20" s="25">
        <f t="shared" si="7"/>
        <v>4.3205090830085169</v>
      </c>
      <c r="I20" s="26">
        <f t="shared" si="8"/>
        <v>0.56088910744217102</v>
      </c>
      <c r="J20" s="26">
        <f t="shared" si="8"/>
        <v>0.43911089255782898</v>
      </c>
      <c r="K20" s="22">
        <f t="shared" si="0"/>
        <v>0.56106474776119131</v>
      </c>
      <c r="L20" s="48">
        <f t="shared" si="1"/>
        <v>0.43893525223880869</v>
      </c>
      <c r="M20" s="23">
        <v>15754.515299000001</v>
      </c>
      <c r="N20" s="24">
        <v>17064.0910359263</v>
      </c>
      <c r="O20" s="24">
        <v>7997.0022609999996</v>
      </c>
      <c r="P20" s="24">
        <v>1119154.5</v>
      </c>
      <c r="Q20" s="24">
        <v>1012509.8</v>
      </c>
      <c r="R20" s="24">
        <v>60169.032054596297</v>
      </c>
    </row>
    <row r="21" spans="1:20" ht="15" x14ac:dyDescent="0.25">
      <c r="A21" s="20">
        <v>2013</v>
      </c>
      <c r="B21" s="21">
        <f t="shared" si="2"/>
        <v>0.89784974646588389</v>
      </c>
      <c r="C21" s="25">
        <f t="shared" si="3"/>
        <v>4.7113702425705783E-2</v>
      </c>
      <c r="D21" s="25">
        <f t="shared" si="4"/>
        <v>1.7312388425610337</v>
      </c>
      <c r="E21" s="25">
        <f t="shared" si="5"/>
        <v>0.1018584908432091</v>
      </c>
      <c r="F21" s="47">
        <f t="shared" si="5"/>
        <v>1.5822666492921187</v>
      </c>
      <c r="G21" s="25">
        <f t="shared" si="6"/>
        <v>0.1812315426404254</v>
      </c>
      <c r="H21" s="25">
        <f t="shared" si="7"/>
        <v>3.6127705717088787</v>
      </c>
      <c r="I21" s="26">
        <f t="shared" si="8"/>
        <v>0.56203511463400524</v>
      </c>
      <c r="J21" s="26">
        <f t="shared" si="8"/>
        <v>0.43796488536599482</v>
      </c>
      <c r="K21" s="22">
        <f t="shared" si="0"/>
        <v>0.56300548150681906</v>
      </c>
      <c r="L21" s="48">
        <f t="shared" si="1"/>
        <v>0.43699451849318094</v>
      </c>
      <c r="M21" s="23">
        <v>16755.782048000001</v>
      </c>
      <c r="N21" s="24">
        <v>17362.0832437098</v>
      </c>
      <c r="O21" s="24">
        <v>8530.8091820000009</v>
      </c>
      <c r="P21" s="24">
        <v>1121184.6000000001</v>
      </c>
      <c r="Q21" s="24">
        <v>1013888.1</v>
      </c>
      <c r="R21" s="24">
        <v>62382.544956065503</v>
      </c>
    </row>
    <row r="22" spans="1:20" ht="15" x14ac:dyDescent="0.25">
      <c r="A22" s="20">
        <v>2014</v>
      </c>
      <c r="B22" s="21">
        <f t="shared" si="2"/>
        <v>0.91196478846529105</v>
      </c>
      <c r="C22" s="25">
        <f t="shared" si="3"/>
        <v>1.5598646081323073</v>
      </c>
      <c r="D22" s="25">
        <f t="shared" si="4"/>
        <v>3.1401607623413597</v>
      </c>
      <c r="E22" s="25">
        <f t="shared" si="5"/>
        <v>0.23710640651174397</v>
      </c>
      <c r="F22" s="47">
        <f t="shared" si="5"/>
        <v>1.3431897476973083</v>
      </c>
      <c r="G22" s="25">
        <f t="shared" si="6"/>
        <v>0.41844763222496084</v>
      </c>
      <c r="H22" s="25">
        <f t="shared" si="7"/>
        <v>3.0994307408159116</v>
      </c>
      <c r="I22" s="26">
        <f t="shared" si="8"/>
        <v>0.56663340464135703</v>
      </c>
      <c r="J22" s="26">
        <f t="shared" si="8"/>
        <v>0.43336659535864303</v>
      </c>
      <c r="K22" s="22">
        <f t="shared" si="0"/>
        <v>0.57026132777589489</v>
      </c>
      <c r="L22" s="48">
        <f t="shared" si="1"/>
        <v>0.42973867222410511</v>
      </c>
      <c r="M22" s="23">
        <v>17742.680303000001</v>
      </c>
      <c r="N22" s="24">
        <v>17915.930912967899</v>
      </c>
      <c r="O22" s="24">
        <v>9168.9066149999999</v>
      </c>
      <c r="P22" s="24">
        <v>1125886</v>
      </c>
      <c r="Q22" s="24">
        <v>1020278.7</v>
      </c>
      <c r="R22" s="24">
        <v>64346.324519326299</v>
      </c>
    </row>
    <row r="23" spans="1:20" ht="15" x14ac:dyDescent="0.25">
      <c r="A23" s="20">
        <v>2015</v>
      </c>
      <c r="B23" s="21">
        <f t="shared" si="2"/>
        <v>0.90440674235955043</v>
      </c>
      <c r="C23" s="25">
        <f t="shared" si="3"/>
        <v>-0.83221847503844626</v>
      </c>
      <c r="D23" s="25">
        <f t="shared" si="4"/>
        <v>1.5932310602488897</v>
      </c>
      <c r="E23" s="25">
        <f t="shared" si="5"/>
        <v>1.3991481098415952</v>
      </c>
      <c r="F23" s="47">
        <f t="shared" si="5"/>
        <v>1.0263014254457408</v>
      </c>
      <c r="G23" s="25">
        <f t="shared" si="6"/>
        <v>2.411963130060002</v>
      </c>
      <c r="H23" s="25">
        <f t="shared" si="7"/>
        <v>2.4440802605488088</v>
      </c>
      <c r="I23" s="26">
        <f t="shared" si="8"/>
        <v>0.58008685638855051</v>
      </c>
      <c r="J23" s="26">
        <f t="shared" si="8"/>
        <v>0.41991314361144949</v>
      </c>
      <c r="K23" s="22">
        <f t="shared" si="0"/>
        <v>0.58991238500120613</v>
      </c>
      <c r="L23" s="48">
        <f t="shared" si="1"/>
        <v>0.41008761499879387</v>
      </c>
      <c r="M23" s="23">
        <v>18203.659090000001</v>
      </c>
      <c r="N23" s="24">
        <v>18203.659090000001</v>
      </c>
      <c r="O23" s="24">
        <v>9761.0665709999994</v>
      </c>
      <c r="P23" s="24">
        <v>1153372.1000000001</v>
      </c>
      <c r="Q23" s="24">
        <v>1048384.3</v>
      </c>
      <c r="R23" s="24">
        <v>65938.376600000003</v>
      </c>
    </row>
    <row r="24" spans="1:20" ht="15" x14ac:dyDescent="0.25">
      <c r="A24" s="20">
        <v>2016</v>
      </c>
      <c r="B24" s="21">
        <f t="shared" si="2"/>
        <v>0.9171324909311579</v>
      </c>
      <c r="C24" s="25">
        <f t="shared" si="3"/>
        <v>1.3972749402120945</v>
      </c>
      <c r="D24" s="25">
        <f t="shared" si="4"/>
        <v>2.7724030057242999</v>
      </c>
      <c r="E24" s="25">
        <f t="shared" si="5"/>
        <v>0.28737861017464666</v>
      </c>
      <c r="F24" s="47">
        <f t="shared" si="5"/>
        <v>1.0877494553375586</v>
      </c>
      <c r="G24" s="25">
        <f t="shared" si="6"/>
        <v>0.48186428379892732</v>
      </c>
      <c r="H24" s="25">
        <f t="shared" si="7"/>
        <v>2.6950448456243947</v>
      </c>
      <c r="I24" s="26">
        <f t="shared" si="8"/>
        <v>0.59638910754913765</v>
      </c>
      <c r="J24" s="26">
        <f t="shared" si="8"/>
        <v>0.4036108924508624</v>
      </c>
      <c r="K24" s="22">
        <f t="shared" si="0"/>
        <v>0.60286583009706907</v>
      </c>
      <c r="L24" s="48">
        <f t="shared" si="1"/>
        <v>0.39713416990293093</v>
      </c>
      <c r="M24" s="23">
        <v>19112.295556000001</v>
      </c>
      <c r="N24" s="24">
        <v>18715.3988485435</v>
      </c>
      <c r="O24" s="24">
        <v>10379.667302</v>
      </c>
      <c r="P24" s="24">
        <v>1158943.2</v>
      </c>
      <c r="Q24" s="24">
        <v>1044027.8</v>
      </c>
      <c r="R24" s="24">
        <v>67739.608399999997</v>
      </c>
    </row>
    <row r="25" spans="1:20" ht="15" x14ac:dyDescent="0.25">
      <c r="A25" s="20">
        <v>2017</v>
      </c>
      <c r="B25" s="21">
        <f t="shared" si="2"/>
        <v>0.9480642538057642</v>
      </c>
      <c r="C25" s="25">
        <f t="shared" si="3"/>
        <v>3.3170333392519966</v>
      </c>
      <c r="D25" s="25">
        <f t="shared" si="4"/>
        <v>6.297676240262895</v>
      </c>
      <c r="E25" s="25">
        <f t="shared" si="5"/>
        <v>1.642100650722597</v>
      </c>
      <c r="F25" s="47">
        <f t="shared" si="5"/>
        <v>1.3385422502883013</v>
      </c>
      <c r="G25" s="25">
        <f t="shared" si="6"/>
        <v>2.7336622804352118</v>
      </c>
      <c r="H25" s="25">
        <f t="shared" si="7"/>
        <v>3.3521904405391822</v>
      </c>
      <c r="I25" s="26">
        <f t="shared" si="8"/>
        <v>0.60069623906182257</v>
      </c>
      <c r="J25" s="26">
        <f t="shared" si="8"/>
        <v>0.39930376093817743</v>
      </c>
      <c r="K25" s="22">
        <f t="shared" si="0"/>
        <v>0.59852664802657607</v>
      </c>
      <c r="L25" s="48">
        <f t="shared" si="1"/>
        <v>0.40147335197342393</v>
      </c>
      <c r="M25" s="23">
        <v>21075.604619000002</v>
      </c>
      <c r="N25" s="24">
        <v>19931.938904864899</v>
      </c>
      <c r="O25" s="24">
        <v>11317.65252</v>
      </c>
      <c r="P25" s="24">
        <v>1191061.8</v>
      </c>
      <c r="Q25" s="24">
        <v>1068629.3999999999</v>
      </c>
      <c r="R25" s="24">
        <v>70048.858058986705</v>
      </c>
    </row>
    <row r="26" spans="1:20" ht="15" x14ac:dyDescent="0.25">
      <c r="A26" s="20">
        <v>2018</v>
      </c>
      <c r="B26" s="21">
        <f t="shared" si="2"/>
        <v>0.98749312235679254</v>
      </c>
      <c r="C26" s="25">
        <f t="shared" si="3"/>
        <v>4.074725381474031</v>
      </c>
      <c r="D26" s="25">
        <f t="shared" si="4"/>
        <v>4.0130091516275002</v>
      </c>
      <c r="E26" s="25">
        <f t="shared" si="5"/>
        <v>-1.564144119067759</v>
      </c>
      <c r="F26" s="47">
        <f t="shared" si="5"/>
        <v>1.5024278892212284</v>
      </c>
      <c r="G26" s="25">
        <f t="shared" si="6"/>
        <v>-2.5917055641853537</v>
      </c>
      <c r="H26" s="25">
        <f t="shared" si="7"/>
        <v>3.7894091285570752</v>
      </c>
      <c r="I26" s="26">
        <f t="shared" si="8"/>
        <v>0.60351921942159881</v>
      </c>
      <c r="J26" s="26">
        <f t="shared" si="8"/>
        <v>0.39648078057840125</v>
      </c>
      <c r="K26" s="22">
        <f t="shared" si="0"/>
        <v>0.60851179081662143</v>
      </c>
      <c r="L26" s="48">
        <f t="shared" si="1"/>
        <v>0.39148820918337857</v>
      </c>
      <c r="M26" s="23">
        <v>22991.810362</v>
      </c>
      <c r="N26" s="24">
        <v>20748.075735799499</v>
      </c>
      <c r="O26" s="24">
        <v>12464.491279</v>
      </c>
      <c r="P26" s="24">
        <v>1160589.5659970001</v>
      </c>
      <c r="Q26" s="24">
        <v>1033977.416901</v>
      </c>
      <c r="R26" s="24">
        <v>72754.230978225896</v>
      </c>
    </row>
    <row r="27" spans="1:20" ht="15" x14ac:dyDescent="0.25">
      <c r="A27" s="20">
        <f>A26+1</f>
        <v>2019</v>
      </c>
      <c r="B27" s="21">
        <f t="shared" si="2"/>
        <v>1.0011742166624782</v>
      </c>
      <c r="C27" s="25">
        <f t="shared" si="3"/>
        <v>1.3759274742378151</v>
      </c>
      <c r="D27" s="25">
        <f t="shared" si="4"/>
        <v>3.0867887091174495</v>
      </c>
      <c r="E27" s="25">
        <f t="shared" si="5"/>
        <v>0.31032465385000491</v>
      </c>
      <c r="F27" s="47">
        <f t="shared" si="5"/>
        <v>1.4005365810296295</v>
      </c>
      <c r="G27" s="25">
        <f t="shared" si="6"/>
        <v>0.50629170398401868</v>
      </c>
      <c r="H27" s="25">
        <f t="shared" si="7"/>
        <v>3.6183636566276434</v>
      </c>
      <c r="I27" s="26">
        <f t="shared" si="8"/>
        <v>0.61293647793960382</v>
      </c>
      <c r="J27" s="26">
        <f t="shared" si="8"/>
        <v>0.38706352206039613</v>
      </c>
      <c r="K27" s="22">
        <f t="shared" si="0"/>
        <v>0.61736116506258631</v>
      </c>
      <c r="L27" s="48">
        <f t="shared" si="1"/>
        <v>0.38263883493741369</v>
      </c>
      <c r="M27" s="23">
        <v>24742.432430000001</v>
      </c>
      <c r="N27" s="24">
        <v>21398.5121485813</v>
      </c>
      <c r="O27" s="24">
        <v>13583.259364</v>
      </c>
      <c r="P27" s="24">
        <v>1166480.434593</v>
      </c>
      <c r="Q27" s="24">
        <v>1037288.952146</v>
      </c>
      <c r="R27" s="24">
        <v>75434.950243923493</v>
      </c>
    </row>
    <row r="28" spans="1:20" ht="15" x14ac:dyDescent="0.25">
      <c r="A28" s="20">
        <f t="shared" ref="A28:A30" si="9">A27+1</f>
        <v>2020</v>
      </c>
      <c r="B28" s="21">
        <v>1</v>
      </c>
      <c r="C28" s="25">
        <f t="shared" si="3"/>
        <v>-0.11735278092822088</v>
      </c>
      <c r="D28" s="25">
        <f t="shared" si="4"/>
        <v>-2.7395693756846029</v>
      </c>
      <c r="E28" s="25">
        <f t="shared" si="5"/>
        <v>-3.862658841100779</v>
      </c>
      <c r="F28" s="47">
        <f t="shared" si="5"/>
        <v>1.2404422463443969</v>
      </c>
      <c r="G28" s="25">
        <f t="shared" si="6"/>
        <v>-6.1735956298756278</v>
      </c>
      <c r="H28" s="25">
        <f t="shared" si="7"/>
        <v>3.3138028129297226</v>
      </c>
      <c r="I28" s="26">
        <f t="shared" si="8"/>
        <v>0.62567409216249481</v>
      </c>
      <c r="J28" s="26">
        <f t="shared" si="8"/>
        <v>0.37432590783750525</v>
      </c>
      <c r="K28" s="22">
        <f t="shared" si="0"/>
        <v>0.6339870192624032</v>
      </c>
      <c r="L28" s="48">
        <f t="shared" si="1"/>
        <v>0.3660129807375968</v>
      </c>
      <c r="M28" s="23">
        <v>24419.868112</v>
      </c>
      <c r="N28" s="24">
        <v>20820.2422816652</v>
      </c>
      <c r="O28" s="24">
        <v>13814.699638</v>
      </c>
      <c r="P28" s="24">
        <v>1096644.522104</v>
      </c>
      <c r="Q28" s="24">
        <v>978551.39520799997</v>
      </c>
      <c r="R28" s="24">
        <v>77976.5957231231</v>
      </c>
    </row>
    <row r="29" spans="1:20" ht="15" x14ac:dyDescent="0.25">
      <c r="A29" s="20">
        <f t="shared" si="9"/>
        <v>2021</v>
      </c>
      <c r="B29" s="21">
        <f>B28*EXP(C29/100)</f>
        <v>1.0553240392182048</v>
      </c>
      <c r="C29" s="25">
        <f t="shared" si="3"/>
        <v>5.3847865946691922</v>
      </c>
      <c r="D29" s="25">
        <f t="shared" si="4"/>
        <v>6.2783292966976489</v>
      </c>
      <c r="E29" s="25">
        <f t="shared" si="5"/>
        <v>-0.36525170460038175</v>
      </c>
      <c r="F29" s="47">
        <f t="shared" si="5"/>
        <v>1.2587944066288383</v>
      </c>
      <c r="G29" s="25">
        <f t="shared" si="6"/>
        <v>-0.58436171077573817</v>
      </c>
      <c r="H29" s="25">
        <f t="shared" si="7"/>
        <v>3.3571778204590785</v>
      </c>
      <c r="I29" s="26">
        <f t="shared" si="8"/>
        <v>0.62504386900283282</v>
      </c>
      <c r="J29" s="26">
        <f t="shared" si="8"/>
        <v>0.37495613099716713</v>
      </c>
      <c r="K29" s="22">
        <f t="shared" si="0"/>
        <v>0.61610071874326255</v>
      </c>
      <c r="L29" s="48">
        <f t="shared" si="1"/>
        <v>0.38389928125673745</v>
      </c>
      <c r="M29" s="23">
        <v>27521.784279</v>
      </c>
      <c r="N29" s="24">
        <v>22169.312062836001</v>
      </c>
      <c r="O29" s="24">
        <v>15058.769269</v>
      </c>
      <c r="P29" s="24">
        <v>1090254.8390269999</v>
      </c>
      <c r="Q29" s="24">
        <v>968253.77776900004</v>
      </c>
      <c r="R29" s="24">
        <v>80638.846913814006</v>
      </c>
    </row>
    <row r="30" spans="1:20" ht="15" x14ac:dyDescent="0.25">
      <c r="A30" s="20">
        <f t="shared" si="9"/>
        <v>2022</v>
      </c>
      <c r="B30" s="27">
        <f t="shared" ref="B30" si="10">B29*EXP(C30/100)</f>
        <v>1.0297556831393564</v>
      </c>
      <c r="C30" s="28">
        <f t="shared" si="3"/>
        <v>-2.4526292677291419</v>
      </c>
      <c r="D30" s="25">
        <f t="shared" si="4"/>
        <v>0.6051093831151988</v>
      </c>
      <c r="E30" s="28">
        <f t="shared" si="5"/>
        <v>1.8271203590056593</v>
      </c>
      <c r="F30" s="51">
        <f t="shared" si="5"/>
        <v>1.2306182918386814</v>
      </c>
      <c r="G30" s="25">
        <f t="shared" si="6"/>
        <v>3.0186424706032611</v>
      </c>
      <c r="H30" s="25">
        <f t="shared" si="7"/>
        <v>3.1176900576898703</v>
      </c>
      <c r="I30" s="26">
        <f t="shared" si="8"/>
        <v>0.60527882211917539</v>
      </c>
      <c r="J30" s="26">
        <f t="shared" si="8"/>
        <v>0.39472117788082456</v>
      </c>
      <c r="K30" s="22">
        <f t="shared" si="0"/>
        <v>0.59445692549508833</v>
      </c>
      <c r="L30" s="48">
        <f t="shared" si="1"/>
        <v>0.40554307450491167</v>
      </c>
      <c r="M30" s="23">
        <v>32163.258942</v>
      </c>
      <c r="N30" s="23">
        <v>22303.867343043501</v>
      </c>
      <c r="O30" s="23">
        <v>17132.953192000001</v>
      </c>
      <c r="P30" s="24">
        <v>1123667.501899</v>
      </c>
      <c r="Q30" s="24">
        <v>1006907.581295</v>
      </c>
      <c r="R30" s="24">
        <v>83192.517144371202</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DF9C7-5E6F-4B17-995C-C1C0C64A5D76}">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29" ht="52.5" customHeight="1" x14ac:dyDescent="0.2">
      <c r="A1" s="31" t="s">
        <v>62</v>
      </c>
      <c r="B1" s="16"/>
    </row>
    <row r="2" spans="1:29" ht="99.75" customHeight="1" x14ac:dyDescent="0.2">
      <c r="A2" s="17" t="s">
        <v>142</v>
      </c>
    </row>
    <row r="3" spans="1:29" ht="409.5" customHeight="1" x14ac:dyDescent="0.2">
      <c r="A3" s="90" t="s">
        <v>134</v>
      </c>
      <c r="B3" s="16"/>
    </row>
    <row r="4" spans="1:29" ht="36.75" customHeight="1" x14ac:dyDescent="0.2">
      <c r="A4" s="17"/>
      <c r="B4" s="16"/>
    </row>
    <row r="5" spans="1:29" ht="409.5" customHeight="1" x14ac:dyDescent="0.2">
      <c r="A5" s="90" t="s">
        <v>136</v>
      </c>
      <c r="B5" s="16"/>
    </row>
    <row r="6" spans="1:29" ht="44.25" customHeight="1" x14ac:dyDescent="0.2">
      <c r="A6" s="17"/>
      <c r="B6" s="16"/>
    </row>
    <row r="7" spans="1:29" ht="120.75" customHeight="1" x14ac:dyDescent="0.2">
      <c r="A7" s="36" t="s">
        <v>4</v>
      </c>
      <c r="B7" s="16"/>
    </row>
    <row r="8" spans="1:29"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29" ht="15" x14ac:dyDescent="0.25">
      <c r="A9" s="20">
        <v>2001</v>
      </c>
      <c r="B9" s="21"/>
      <c r="C9" s="25"/>
      <c r="D9" s="25"/>
      <c r="E9" s="25"/>
      <c r="F9" s="47"/>
      <c r="G9" s="25"/>
      <c r="H9" s="25"/>
      <c r="I9" s="26"/>
      <c r="J9" s="26"/>
      <c r="K9" s="22">
        <f t="shared" ref="K9:K30" si="0">O9*(P9/Q9)/M9</f>
        <v>0.55183333834178872</v>
      </c>
      <c r="L9" s="48">
        <f t="shared" ref="L9:L30" si="1">1-K9</f>
        <v>0.44816666165821128</v>
      </c>
      <c r="M9" s="23">
        <v>108813.819976</v>
      </c>
      <c r="N9" s="24">
        <v>149287.80777542799</v>
      </c>
      <c r="O9" s="24">
        <v>46894.832000000002</v>
      </c>
      <c r="P9" s="24">
        <v>3408950.4870000002</v>
      </c>
      <c r="Q9" s="24">
        <v>2662279.7370000002</v>
      </c>
      <c r="R9" s="24">
        <v>278528.68762455601</v>
      </c>
      <c r="T9" s="89"/>
      <c r="U9" s="85"/>
      <c r="V9" s="85"/>
      <c r="W9" s="85"/>
      <c r="X9" s="85"/>
    </row>
    <row r="10" spans="1:29" ht="15" x14ac:dyDescent="0.25">
      <c r="A10" s="20">
        <v>2002</v>
      </c>
      <c r="B10" s="21">
        <f t="shared" ref="B10:B27" si="2">B11*EXP(-C11/100)</f>
        <v>0.88233931210058147</v>
      </c>
      <c r="C10" s="25">
        <f t="shared" ref="C10:C30" si="3">D10-E10-F10</f>
        <v>2.3222576886417787</v>
      </c>
      <c r="D10" s="25">
        <f t="shared" ref="D10:D30" si="4">(LN(N10)-LN(N9))*100</f>
        <v>5.9139923896744051</v>
      </c>
      <c r="E10" s="25">
        <f t="shared" ref="E10:F30" si="5">I10*G10</f>
        <v>0.34824585141923026</v>
      </c>
      <c r="F10" s="47">
        <f t="shared" si="5"/>
        <v>3.2434888496133958</v>
      </c>
      <c r="G10" s="25">
        <f t="shared" ref="G10:G30" si="6">(LN(P10)-LN(P9))*100</f>
        <v>0.64326732351318583</v>
      </c>
      <c r="H10" s="25">
        <f t="shared" ref="H10:H30" si="7">(LN(R10)-LN(R9))*100</f>
        <v>7.0721306362107939</v>
      </c>
      <c r="I10" s="26">
        <f t="shared" ref="I10:J30" si="8">(K10+K9)/2</f>
        <v>0.54137034276402485</v>
      </c>
      <c r="J10" s="26">
        <f t="shared" si="8"/>
        <v>0.45862965723597521</v>
      </c>
      <c r="K10" s="22">
        <f t="shared" si="0"/>
        <v>0.53090734718626087</v>
      </c>
      <c r="L10" s="48">
        <f t="shared" si="1"/>
        <v>0.46909265281373913</v>
      </c>
      <c r="M10" s="23">
        <v>120604.618294</v>
      </c>
      <c r="N10" s="24">
        <v>158382.970244531</v>
      </c>
      <c r="O10" s="24">
        <v>50203.796999999999</v>
      </c>
      <c r="P10" s="24">
        <v>3430949.8330000001</v>
      </c>
      <c r="Q10" s="24">
        <v>2690098.9730000002</v>
      </c>
      <c r="R10" s="24">
        <v>298939.84565595002</v>
      </c>
      <c r="T10" s="89"/>
      <c r="U10" s="85"/>
      <c r="V10" s="85"/>
      <c r="W10" s="85"/>
      <c r="X10" s="85"/>
      <c r="Z10" s="85"/>
      <c r="AA10" s="85"/>
      <c r="AB10" s="85"/>
      <c r="AC10" s="85"/>
    </row>
    <row r="11" spans="1:29" ht="15" x14ac:dyDescent="0.25">
      <c r="A11" s="20">
        <v>2003</v>
      </c>
      <c r="B11" s="21">
        <f t="shared" si="2"/>
        <v>0.86758766391354381</v>
      </c>
      <c r="C11" s="25">
        <f t="shared" si="3"/>
        <v>-1.6860129404731052</v>
      </c>
      <c r="D11" s="25">
        <f t="shared" si="4"/>
        <v>1.2889578800921342</v>
      </c>
      <c r="E11" s="25">
        <f t="shared" si="5"/>
        <v>8.5191905951570987E-2</v>
      </c>
      <c r="F11" s="47">
        <f t="shared" si="5"/>
        <v>2.8897789146136685</v>
      </c>
      <c r="G11" s="25">
        <f t="shared" si="6"/>
        <v>0.15953429387565166</v>
      </c>
      <c r="H11" s="25">
        <f t="shared" si="7"/>
        <v>6.2012917727425787</v>
      </c>
      <c r="I11" s="26">
        <f t="shared" si="8"/>
        <v>0.53400371720686879</v>
      </c>
      <c r="J11" s="26">
        <f t="shared" si="8"/>
        <v>0.46599628279313116</v>
      </c>
      <c r="K11" s="22">
        <f t="shared" si="0"/>
        <v>0.53710008722747682</v>
      </c>
      <c r="L11" s="48">
        <f t="shared" si="1"/>
        <v>0.46289991277252318</v>
      </c>
      <c r="M11" s="23">
        <v>128986.895145</v>
      </c>
      <c r="N11" s="24">
        <v>160437.67370379399</v>
      </c>
      <c r="O11" s="24">
        <v>54672.135999999999</v>
      </c>
      <c r="P11" s="24">
        <v>3436427.7429999998</v>
      </c>
      <c r="Q11" s="24">
        <v>2711892.3530000001</v>
      </c>
      <c r="R11" s="24">
        <v>318064.84776521102</v>
      </c>
      <c r="T11" s="89"/>
      <c r="U11" s="85"/>
      <c r="V11" s="85"/>
      <c r="W11" s="85"/>
      <c r="X11" s="85"/>
      <c r="Z11" s="85"/>
      <c r="AA11" s="85"/>
      <c r="AB11" s="85"/>
      <c r="AC11" s="85"/>
    </row>
    <row r="12" spans="1:29" ht="15" x14ac:dyDescent="0.25">
      <c r="A12" s="20">
        <v>2004</v>
      </c>
      <c r="B12" s="21">
        <f t="shared" si="2"/>
        <v>0.87318460373008255</v>
      </c>
      <c r="C12" s="25">
        <f t="shared" si="3"/>
        <v>0.64304322936369251</v>
      </c>
      <c r="D12" s="25">
        <f t="shared" si="4"/>
        <v>5.0684143045378605</v>
      </c>
      <c r="E12" s="25">
        <f t="shared" si="5"/>
        <v>1.321957525815638</v>
      </c>
      <c r="F12" s="47">
        <f t="shared" si="5"/>
        <v>3.10341354935853</v>
      </c>
      <c r="G12" s="25">
        <f t="shared" si="6"/>
        <v>2.4309635520014083</v>
      </c>
      <c r="H12" s="25">
        <f t="shared" si="7"/>
        <v>6.8027450231493702</v>
      </c>
      <c r="I12" s="26">
        <f t="shared" si="8"/>
        <v>0.54379981334038208</v>
      </c>
      <c r="J12" s="26">
        <f t="shared" si="8"/>
        <v>0.45620018665961798</v>
      </c>
      <c r="K12" s="22">
        <f t="shared" si="0"/>
        <v>0.55049953945328722</v>
      </c>
      <c r="L12" s="48">
        <f t="shared" si="1"/>
        <v>0.44950046054671278</v>
      </c>
      <c r="M12" s="23">
        <v>137429.175387</v>
      </c>
      <c r="N12" s="24">
        <v>168778.918568327</v>
      </c>
      <c r="O12" s="24">
        <v>59393.760999999999</v>
      </c>
      <c r="P12" s="24">
        <v>3520989.72</v>
      </c>
      <c r="Q12" s="24">
        <v>2764201.406</v>
      </c>
      <c r="R12" s="24">
        <v>340454.92433268297</v>
      </c>
      <c r="T12" s="89"/>
      <c r="U12" s="85"/>
      <c r="V12" s="85"/>
      <c r="W12" s="85"/>
      <c r="X12" s="85"/>
      <c r="Z12" s="85"/>
      <c r="AA12" s="85"/>
      <c r="AB12" s="85"/>
      <c r="AC12" s="85"/>
    </row>
    <row r="13" spans="1:29" ht="15" x14ac:dyDescent="0.25">
      <c r="A13" s="20">
        <v>2005</v>
      </c>
      <c r="B13" s="21">
        <f t="shared" si="2"/>
        <v>0.86408120320120407</v>
      </c>
      <c r="C13" s="25">
        <f t="shared" si="3"/>
        <v>-1.0480242937430684</v>
      </c>
      <c r="D13" s="25">
        <f t="shared" si="4"/>
        <v>5.9131922663814507</v>
      </c>
      <c r="E13" s="25">
        <f t="shared" si="5"/>
        <v>2.5722348918841598</v>
      </c>
      <c r="F13" s="47">
        <f t="shared" si="5"/>
        <v>4.3889816682403593</v>
      </c>
      <c r="G13" s="25">
        <f t="shared" si="6"/>
        <v>4.6386049156224018</v>
      </c>
      <c r="H13" s="25">
        <f t="shared" si="7"/>
        <v>9.8524231899403958</v>
      </c>
      <c r="I13" s="26">
        <f t="shared" si="8"/>
        <v>0.55452769500181087</v>
      </c>
      <c r="J13" s="26">
        <f t="shared" si="8"/>
        <v>0.44547230499818913</v>
      </c>
      <c r="K13" s="22">
        <f t="shared" si="0"/>
        <v>0.55855585055033452</v>
      </c>
      <c r="L13" s="48">
        <f t="shared" si="1"/>
        <v>0.44144414944966548</v>
      </c>
      <c r="M13" s="23">
        <v>149522.682329</v>
      </c>
      <c r="N13" s="24">
        <v>179060.11850592101</v>
      </c>
      <c r="O13" s="24">
        <v>66159.952999999994</v>
      </c>
      <c r="P13" s="24">
        <v>3688161.7740000002</v>
      </c>
      <c r="Q13" s="24">
        <v>2921672.0490000001</v>
      </c>
      <c r="R13" s="24">
        <v>375706.01700822398</v>
      </c>
      <c r="T13" s="89"/>
      <c r="U13" s="85"/>
      <c r="V13" s="85"/>
      <c r="W13" s="85"/>
      <c r="X13" s="85"/>
      <c r="Z13" s="85"/>
      <c r="AA13" s="85"/>
      <c r="AB13" s="85"/>
      <c r="AC13" s="85"/>
    </row>
    <row r="14" spans="1:29" ht="15" x14ac:dyDescent="0.25">
      <c r="A14" s="20">
        <v>2006</v>
      </c>
      <c r="B14" s="21">
        <f t="shared" si="2"/>
        <v>0.86216015378692812</v>
      </c>
      <c r="C14" s="25">
        <f t="shared" si="3"/>
        <v>-0.22257029117426841</v>
      </c>
      <c r="D14" s="25">
        <f t="shared" si="4"/>
        <v>4.4882747793076661</v>
      </c>
      <c r="E14" s="25">
        <f t="shared" si="5"/>
        <v>1.8151378869457022</v>
      </c>
      <c r="F14" s="47">
        <f t="shared" si="5"/>
        <v>2.8957071835362322</v>
      </c>
      <c r="G14" s="25">
        <f t="shared" si="6"/>
        <v>3.2457930846497618</v>
      </c>
      <c r="H14" s="25">
        <f t="shared" si="7"/>
        <v>6.5696237406301705</v>
      </c>
      <c r="I14" s="26">
        <f t="shared" si="8"/>
        <v>0.55922784959090055</v>
      </c>
      <c r="J14" s="26">
        <f t="shared" si="8"/>
        <v>0.44077215040909945</v>
      </c>
      <c r="K14" s="22">
        <f t="shared" si="0"/>
        <v>0.55989984863146658</v>
      </c>
      <c r="L14" s="48">
        <f t="shared" si="1"/>
        <v>0.44010015136853342</v>
      </c>
      <c r="M14" s="23">
        <v>162578.076015</v>
      </c>
      <c r="N14" s="24">
        <v>187279.91228530201</v>
      </c>
      <c r="O14" s="24">
        <v>72845.115999999995</v>
      </c>
      <c r="P14" s="24">
        <v>3809835.8360000001</v>
      </c>
      <c r="Q14" s="24">
        <v>3048838.1630000002</v>
      </c>
      <c r="R14" s="24">
        <v>401217.31184454501</v>
      </c>
      <c r="T14" s="89"/>
      <c r="U14" s="85"/>
      <c r="V14" s="85"/>
      <c r="W14" s="85"/>
      <c r="X14" s="85"/>
      <c r="Z14" s="85"/>
      <c r="AA14" s="85"/>
      <c r="AB14" s="85"/>
      <c r="AC14" s="85"/>
    </row>
    <row r="15" spans="1:29" ht="15" x14ac:dyDescent="0.25">
      <c r="A15" s="20">
        <v>2007</v>
      </c>
      <c r="B15" s="21">
        <f t="shared" si="2"/>
        <v>0.89168468254438804</v>
      </c>
      <c r="C15" s="25">
        <f t="shared" si="3"/>
        <v>3.3671528518002019</v>
      </c>
      <c r="D15" s="25">
        <f t="shared" si="4"/>
        <v>7.5285048883038996</v>
      </c>
      <c r="E15" s="25">
        <f t="shared" si="5"/>
        <v>1.5489336192913621</v>
      </c>
      <c r="F15" s="47">
        <f t="shared" si="5"/>
        <v>2.6124184172123357</v>
      </c>
      <c r="G15" s="25">
        <f t="shared" si="6"/>
        <v>2.7366404417264789</v>
      </c>
      <c r="H15" s="25">
        <f t="shared" si="7"/>
        <v>6.0193725894379213</v>
      </c>
      <c r="I15" s="26">
        <f t="shared" si="8"/>
        <v>0.56599822018057222</v>
      </c>
      <c r="J15" s="26">
        <f t="shared" si="8"/>
        <v>0.43400177981942784</v>
      </c>
      <c r="K15" s="22">
        <f t="shared" si="0"/>
        <v>0.57209659172967775</v>
      </c>
      <c r="L15" s="48">
        <f t="shared" si="1"/>
        <v>0.42790340827032225</v>
      </c>
      <c r="M15" s="23">
        <v>175065.93249100001</v>
      </c>
      <c r="N15" s="24">
        <v>201923.59912512501</v>
      </c>
      <c r="O15" s="24">
        <v>79781.645000000004</v>
      </c>
      <c r="P15" s="24">
        <v>3915537.0789999999</v>
      </c>
      <c r="Q15" s="24">
        <v>3119057.1030000001</v>
      </c>
      <c r="R15" s="24">
        <v>426109.74531936599</v>
      </c>
      <c r="T15" s="89"/>
      <c r="U15" s="85"/>
      <c r="V15" s="85"/>
      <c r="W15" s="85"/>
      <c r="X15" s="85"/>
      <c r="Z15" s="85"/>
      <c r="AA15" s="85"/>
      <c r="AB15" s="85"/>
      <c r="AC15" s="85"/>
    </row>
    <row r="16" spans="1:29" ht="15" x14ac:dyDescent="0.25">
      <c r="A16" s="20">
        <v>2008</v>
      </c>
      <c r="B16" s="21">
        <f t="shared" si="2"/>
        <v>0.87174006445954511</v>
      </c>
      <c r="C16" s="25">
        <f t="shared" si="3"/>
        <v>-2.2621286925718991</v>
      </c>
      <c r="D16" s="25">
        <f t="shared" si="4"/>
        <v>-2.2703879769354174</v>
      </c>
      <c r="E16" s="25">
        <f t="shared" si="5"/>
        <v>-1.7546927364008327</v>
      </c>
      <c r="F16" s="47">
        <f t="shared" si="5"/>
        <v>1.7464334520373146</v>
      </c>
      <c r="G16" s="25">
        <f t="shared" si="6"/>
        <v>-2.9586020793750833</v>
      </c>
      <c r="H16" s="25">
        <f t="shared" si="7"/>
        <v>4.2918527651947258</v>
      </c>
      <c r="I16" s="26">
        <f t="shared" si="8"/>
        <v>0.59308169511307152</v>
      </c>
      <c r="J16" s="26">
        <f t="shared" si="8"/>
        <v>0.40691830488692848</v>
      </c>
      <c r="K16" s="22">
        <f t="shared" si="0"/>
        <v>0.61406679849646528</v>
      </c>
      <c r="L16" s="48">
        <f t="shared" si="1"/>
        <v>0.38593320150353472</v>
      </c>
      <c r="M16" s="23">
        <v>167334.95250499999</v>
      </c>
      <c r="N16" s="24">
        <v>197390.80076944199</v>
      </c>
      <c r="O16" s="24">
        <v>81820.687000000005</v>
      </c>
      <c r="P16" s="24">
        <v>3801388.84</v>
      </c>
      <c r="Q16" s="24">
        <v>3026935.284</v>
      </c>
      <c r="R16" s="24">
        <v>444795.870463798</v>
      </c>
      <c r="T16" s="89"/>
      <c r="U16" s="85"/>
      <c r="V16" s="85"/>
      <c r="W16" s="85"/>
      <c r="X16" s="85"/>
      <c r="Z16" s="85"/>
      <c r="AA16" s="85"/>
      <c r="AB16" s="85"/>
      <c r="AC16" s="85"/>
    </row>
    <row r="17" spans="1:29" ht="15" x14ac:dyDescent="0.25">
      <c r="A17" s="20">
        <v>2009</v>
      </c>
      <c r="B17" s="21">
        <f t="shared" si="2"/>
        <v>0.86750050953207047</v>
      </c>
      <c r="C17" s="25">
        <f t="shared" si="3"/>
        <v>-0.48751890771484652</v>
      </c>
      <c r="D17" s="25">
        <f t="shared" si="4"/>
        <v>-6.5859869484880207</v>
      </c>
      <c r="E17" s="25">
        <f t="shared" si="5"/>
        <v>-7.2757338896997945</v>
      </c>
      <c r="F17" s="47">
        <f t="shared" si="5"/>
        <v>1.1772658489266203</v>
      </c>
      <c r="G17" s="25">
        <f t="shared" si="6"/>
        <v>-11.795245253345321</v>
      </c>
      <c r="H17" s="25">
        <f t="shared" si="7"/>
        <v>3.0724868905465996</v>
      </c>
      <c r="I17" s="26">
        <f t="shared" si="8"/>
        <v>0.61683616859397472</v>
      </c>
      <c r="J17" s="26">
        <f t="shared" si="8"/>
        <v>0.38316383140602533</v>
      </c>
      <c r="K17" s="22">
        <f t="shared" si="0"/>
        <v>0.61960553869148405</v>
      </c>
      <c r="L17" s="48">
        <f t="shared" si="1"/>
        <v>0.38039446130851595</v>
      </c>
      <c r="M17" s="23">
        <v>152335.85899499999</v>
      </c>
      <c r="N17" s="24">
        <v>184809.51656584101</v>
      </c>
      <c r="O17" s="24">
        <v>74396.884999999995</v>
      </c>
      <c r="P17" s="24">
        <v>3378439.889</v>
      </c>
      <c r="Q17" s="24">
        <v>2662891.7429999998</v>
      </c>
      <c r="R17" s="24">
        <v>458674.27965364599</v>
      </c>
      <c r="T17" s="89"/>
      <c r="U17" s="85"/>
      <c r="V17" s="85"/>
      <c r="W17" s="85"/>
      <c r="X17" s="85"/>
      <c r="Z17" s="85"/>
      <c r="AA17" s="85"/>
      <c r="AB17" s="85"/>
      <c r="AC17" s="85"/>
    </row>
    <row r="18" spans="1:29" ht="15" x14ac:dyDescent="0.25">
      <c r="A18" s="20">
        <v>2010</v>
      </c>
      <c r="B18" s="21">
        <f t="shared" si="2"/>
        <v>0.90001748900342604</v>
      </c>
      <c r="C18" s="25">
        <f t="shared" si="3"/>
        <v>3.6798096183840996</v>
      </c>
      <c r="D18" s="25">
        <f t="shared" si="4"/>
        <v>1.7822537530172156</v>
      </c>
      <c r="E18" s="25">
        <f t="shared" si="5"/>
        <v>-2.6503439670101896</v>
      </c>
      <c r="F18" s="47">
        <f t="shared" si="5"/>
        <v>0.75278810164330556</v>
      </c>
      <c r="G18" s="25">
        <f t="shared" si="6"/>
        <v>-4.4288641890302571</v>
      </c>
      <c r="H18" s="25">
        <f t="shared" si="7"/>
        <v>1.87459002378354</v>
      </c>
      <c r="I18" s="26">
        <f t="shared" si="8"/>
        <v>0.59842520652919551</v>
      </c>
      <c r="J18" s="26">
        <f t="shared" si="8"/>
        <v>0.40157479347080449</v>
      </c>
      <c r="K18" s="22">
        <f t="shared" si="0"/>
        <v>0.57724487436690697</v>
      </c>
      <c r="L18" s="48">
        <f t="shared" si="1"/>
        <v>0.42275512563309303</v>
      </c>
      <c r="M18" s="23">
        <v>152323.74496499999</v>
      </c>
      <c r="N18" s="24">
        <v>188132.81797470001</v>
      </c>
      <c r="O18" s="24">
        <v>69644.667000000001</v>
      </c>
      <c r="P18" s="24">
        <v>3232078.3739999998</v>
      </c>
      <c r="Q18" s="24">
        <v>2560012.3220000002</v>
      </c>
      <c r="R18" s="24">
        <v>467353.63897827797</v>
      </c>
      <c r="T18" s="89"/>
      <c r="U18" s="85"/>
      <c r="V18" s="85"/>
      <c r="W18" s="85"/>
      <c r="X18" s="85"/>
      <c r="Z18" s="85"/>
      <c r="AA18" s="85"/>
      <c r="AB18" s="85"/>
      <c r="AC18" s="85"/>
    </row>
    <row r="19" spans="1:29" ht="15" x14ac:dyDescent="0.25">
      <c r="A19" s="20">
        <v>2011</v>
      </c>
      <c r="B19" s="21">
        <f t="shared" si="2"/>
        <v>0.92673620946453839</v>
      </c>
      <c r="C19" s="25">
        <f t="shared" si="3"/>
        <v>2.9254766023966212</v>
      </c>
      <c r="D19" s="25">
        <f t="shared" si="4"/>
        <v>2.3756959267874578</v>
      </c>
      <c r="E19" s="25">
        <f t="shared" si="5"/>
        <v>-1.0282649173447591</v>
      </c>
      <c r="F19" s="47">
        <f t="shared" si="5"/>
        <v>0.47848424173559606</v>
      </c>
      <c r="G19" s="25">
        <f t="shared" si="6"/>
        <v>-1.7948120228943765</v>
      </c>
      <c r="H19" s="25">
        <f t="shared" si="7"/>
        <v>1.1203346325556751</v>
      </c>
      <c r="I19" s="26">
        <f t="shared" si="8"/>
        <v>0.57290953271337197</v>
      </c>
      <c r="J19" s="26">
        <f t="shared" si="8"/>
        <v>0.42709046728662808</v>
      </c>
      <c r="K19" s="22">
        <f t="shared" si="0"/>
        <v>0.56857419105983686</v>
      </c>
      <c r="L19" s="48">
        <f t="shared" si="1"/>
        <v>0.43142580894016314</v>
      </c>
      <c r="M19" s="23">
        <v>158278.78049599999</v>
      </c>
      <c r="N19" s="24">
        <v>192655.79503305699</v>
      </c>
      <c r="O19" s="24">
        <v>71433.553</v>
      </c>
      <c r="P19" s="24">
        <v>3174586.125</v>
      </c>
      <c r="Q19" s="24">
        <v>2519878.0759999999</v>
      </c>
      <c r="R19" s="24">
        <v>472619.00342960999</v>
      </c>
      <c r="T19" s="89"/>
      <c r="U19" s="85"/>
      <c r="V19" s="85"/>
      <c r="W19" s="85"/>
      <c r="X19" s="85"/>
      <c r="Z19" s="85"/>
      <c r="AA19" s="85"/>
      <c r="AB19" s="85"/>
      <c r="AC19" s="85"/>
    </row>
    <row r="20" spans="1:29" ht="15" x14ac:dyDescent="0.25">
      <c r="A20" s="20">
        <v>2012</v>
      </c>
      <c r="B20" s="21">
        <f t="shared" si="2"/>
        <v>0.89663404279795045</v>
      </c>
      <c r="C20" s="25">
        <f t="shared" si="3"/>
        <v>-3.3021161616332502</v>
      </c>
      <c r="D20" s="25">
        <f t="shared" si="4"/>
        <v>-2.8286103650357219</v>
      </c>
      <c r="E20" s="25">
        <f t="shared" si="5"/>
        <v>-0.40803875725339445</v>
      </c>
      <c r="F20" s="47">
        <f t="shared" si="5"/>
        <v>0.8815445538509229</v>
      </c>
      <c r="G20" s="25">
        <f t="shared" si="6"/>
        <v>-0.72287651578921697</v>
      </c>
      <c r="H20" s="25">
        <f t="shared" si="7"/>
        <v>2.0240515577429008</v>
      </c>
      <c r="I20" s="26">
        <f t="shared" si="8"/>
        <v>0.56446536627062616</v>
      </c>
      <c r="J20" s="26">
        <f t="shared" si="8"/>
        <v>0.43553463372937384</v>
      </c>
      <c r="K20" s="22">
        <f t="shared" si="0"/>
        <v>0.56035654148141545</v>
      </c>
      <c r="L20" s="48">
        <f t="shared" si="1"/>
        <v>0.43964345851858455</v>
      </c>
      <c r="M20" s="23">
        <v>161459.83158100001</v>
      </c>
      <c r="N20" s="24">
        <v>187282.66396740999</v>
      </c>
      <c r="O20" s="24">
        <v>72184.188999999998</v>
      </c>
      <c r="P20" s="24">
        <v>3151720.5320000001</v>
      </c>
      <c r="Q20" s="24">
        <v>2514553.2740000002</v>
      </c>
      <c r="R20" s="24">
        <v>482282.52313217398</v>
      </c>
      <c r="T20" s="89"/>
      <c r="U20" s="85"/>
      <c r="V20" s="85"/>
      <c r="W20" s="85"/>
      <c r="X20" s="85"/>
      <c r="Z20" s="85"/>
      <c r="AA20" s="85"/>
      <c r="AB20" s="85"/>
      <c r="AC20" s="85"/>
    </row>
    <row r="21" spans="1:29" ht="15" x14ac:dyDescent="0.25">
      <c r="A21" s="20">
        <v>2013</v>
      </c>
      <c r="B21" s="21">
        <f t="shared" si="2"/>
        <v>0.85979203615075261</v>
      </c>
      <c r="C21" s="25">
        <f t="shared" si="3"/>
        <v>-4.1957258193764915</v>
      </c>
      <c r="D21" s="25">
        <f t="shared" si="4"/>
        <v>2.1586532781480372</v>
      </c>
      <c r="E21" s="25">
        <f t="shared" si="5"/>
        <v>2.2033692121798567</v>
      </c>
      <c r="F21" s="47">
        <f t="shared" si="5"/>
        <v>4.1510098853446724</v>
      </c>
      <c r="G21" s="25">
        <f t="shared" si="6"/>
        <v>3.9851898513974859</v>
      </c>
      <c r="H21" s="25">
        <f t="shared" si="7"/>
        <v>9.2840783769290169</v>
      </c>
      <c r="I21" s="26">
        <f t="shared" si="8"/>
        <v>0.55288939657597536</v>
      </c>
      <c r="J21" s="26">
        <f t="shared" si="8"/>
        <v>0.44711060342402464</v>
      </c>
      <c r="K21" s="22">
        <f t="shared" si="0"/>
        <v>0.54542225167053526</v>
      </c>
      <c r="L21" s="48">
        <f t="shared" si="1"/>
        <v>0.45457774832946474</v>
      </c>
      <c r="M21" s="23">
        <v>169095.01556999999</v>
      </c>
      <c r="N21" s="24">
        <v>191369.39784706701</v>
      </c>
      <c r="O21" s="24">
        <v>73237.698999999993</v>
      </c>
      <c r="P21" s="24">
        <v>3279858.8990000002</v>
      </c>
      <c r="Q21" s="24">
        <v>2604510.986</v>
      </c>
      <c r="R21" s="24">
        <v>529202.350414644</v>
      </c>
      <c r="T21" s="89"/>
      <c r="U21" s="85"/>
      <c r="V21" s="85"/>
      <c r="W21" s="85"/>
      <c r="X21" s="85"/>
      <c r="Z21" s="85"/>
      <c r="AA21" s="85"/>
      <c r="AB21" s="85"/>
      <c r="AC21" s="85"/>
    </row>
    <row r="22" spans="1:29" ht="15" x14ac:dyDescent="0.25">
      <c r="A22" s="20">
        <v>2014</v>
      </c>
      <c r="B22" s="21">
        <f t="shared" si="2"/>
        <v>0.8936687477681734</v>
      </c>
      <c r="C22" s="25">
        <f t="shared" si="3"/>
        <v>3.8644636712045521</v>
      </c>
      <c r="D22" s="25">
        <f t="shared" si="4"/>
        <v>8.2793845100981756</v>
      </c>
      <c r="E22" s="25">
        <f t="shared" si="5"/>
        <v>1.7133013809148996</v>
      </c>
      <c r="F22" s="47">
        <f t="shared" si="5"/>
        <v>2.7016194579787243</v>
      </c>
      <c r="G22" s="25">
        <f t="shared" si="6"/>
        <v>3.2344680531359415</v>
      </c>
      <c r="H22" s="25">
        <f t="shared" si="7"/>
        <v>5.7444736254995021</v>
      </c>
      <c r="I22" s="26">
        <f t="shared" si="8"/>
        <v>0.52970112944964409</v>
      </c>
      <c r="J22" s="26">
        <f t="shared" si="8"/>
        <v>0.47029887055035596</v>
      </c>
      <c r="K22" s="22">
        <f t="shared" si="0"/>
        <v>0.51398000722875281</v>
      </c>
      <c r="L22" s="48">
        <f t="shared" si="1"/>
        <v>0.48601999277124719</v>
      </c>
      <c r="M22" s="23">
        <v>186167.997408</v>
      </c>
      <c r="N22" s="24">
        <v>207887.99009202799</v>
      </c>
      <c r="O22" s="24">
        <v>76182.642000000007</v>
      </c>
      <c r="P22" s="24">
        <v>3387679.1940000001</v>
      </c>
      <c r="Q22" s="24">
        <v>2697162.1310000001</v>
      </c>
      <c r="R22" s="24">
        <v>560492.35899234004</v>
      </c>
      <c r="T22" s="89"/>
      <c r="U22" s="85"/>
      <c r="V22" s="85"/>
      <c r="W22" s="85"/>
      <c r="X22" s="85"/>
      <c r="Z22" s="85"/>
      <c r="AA22" s="85"/>
      <c r="AB22" s="85"/>
      <c r="AC22" s="85"/>
    </row>
    <row r="23" spans="1:29" ht="15" x14ac:dyDescent="0.25">
      <c r="A23" s="20">
        <v>2015</v>
      </c>
      <c r="B23" s="21">
        <f t="shared" si="2"/>
        <v>0.87976303491988617</v>
      </c>
      <c r="C23" s="25">
        <f t="shared" si="3"/>
        <v>-1.5682585577293153</v>
      </c>
      <c r="D23" s="25">
        <f t="shared" si="4"/>
        <v>20.29442381392137</v>
      </c>
      <c r="E23" s="25">
        <f t="shared" si="5"/>
        <v>1.3502432081164597</v>
      </c>
      <c r="F23" s="47">
        <f t="shared" si="5"/>
        <v>20.512439163534225</v>
      </c>
      <c r="G23" s="25">
        <f t="shared" si="6"/>
        <v>2.9616849341486784</v>
      </c>
      <c r="H23" s="25">
        <f t="shared" si="7"/>
        <v>37.700017972642463</v>
      </c>
      <c r="I23" s="26">
        <f t="shared" si="8"/>
        <v>0.45590372984916455</v>
      </c>
      <c r="J23" s="26">
        <f t="shared" si="8"/>
        <v>0.54409627015083539</v>
      </c>
      <c r="K23" s="22">
        <f t="shared" si="0"/>
        <v>0.39782745246957629</v>
      </c>
      <c r="L23" s="48">
        <f t="shared" si="1"/>
        <v>0.60217254753042371</v>
      </c>
      <c r="M23" s="23">
        <v>254663.65222600001</v>
      </c>
      <c r="N23" s="24">
        <v>254663.65222599899</v>
      </c>
      <c r="O23" s="24">
        <v>80971.554999999993</v>
      </c>
      <c r="P23" s="24">
        <v>3489512.12</v>
      </c>
      <c r="Q23" s="24">
        <v>2788916.2889999999</v>
      </c>
      <c r="R23" s="24">
        <v>817144.37240700005</v>
      </c>
      <c r="T23" s="89"/>
      <c r="U23" s="85"/>
      <c r="V23" s="85"/>
      <c r="W23" s="85"/>
      <c r="X23" s="85"/>
      <c r="Z23" s="85"/>
      <c r="AA23" s="85"/>
      <c r="AB23" s="85"/>
      <c r="AC23" s="85"/>
    </row>
    <row r="24" spans="1:29" ht="15" x14ac:dyDescent="0.25">
      <c r="A24" s="20">
        <v>2016</v>
      </c>
      <c r="B24" s="21">
        <f t="shared" si="2"/>
        <v>0.852894059185486</v>
      </c>
      <c r="C24" s="25">
        <f t="shared" si="3"/>
        <v>-3.1017250838493058</v>
      </c>
      <c r="D24" s="25">
        <f t="shared" si="4"/>
        <v>0.97712779565828356</v>
      </c>
      <c r="E24" s="25">
        <f t="shared" si="5"/>
        <v>2.0779281026743952</v>
      </c>
      <c r="F24" s="47">
        <f t="shared" si="5"/>
        <v>2.0009247768331941</v>
      </c>
      <c r="G24" s="25">
        <f t="shared" si="6"/>
        <v>5.0914282477830142</v>
      </c>
      <c r="H24" s="25">
        <f t="shared" si="7"/>
        <v>3.3806419246381836</v>
      </c>
      <c r="I24" s="26">
        <f t="shared" si="8"/>
        <v>0.40812282949861811</v>
      </c>
      <c r="J24" s="26">
        <f t="shared" si="8"/>
        <v>0.59187717050138189</v>
      </c>
      <c r="K24" s="22">
        <f t="shared" si="0"/>
        <v>0.41841820652765999</v>
      </c>
      <c r="L24" s="48">
        <f t="shared" si="1"/>
        <v>0.58158179347233996</v>
      </c>
      <c r="M24" s="23">
        <v>257066.127687</v>
      </c>
      <c r="N24" s="24">
        <v>257164.23862385401</v>
      </c>
      <c r="O24" s="24">
        <v>86369.805999999997</v>
      </c>
      <c r="P24" s="24">
        <v>3671778.7409999999</v>
      </c>
      <c r="Q24" s="24">
        <v>2948377.0219999999</v>
      </c>
      <c r="R24" s="24">
        <v>845241.35087099904</v>
      </c>
      <c r="T24" s="89"/>
      <c r="U24" s="85"/>
      <c r="V24" s="85"/>
      <c r="W24" s="85"/>
      <c r="X24" s="85"/>
      <c r="Z24" s="85"/>
      <c r="AA24" s="85"/>
      <c r="AB24" s="85"/>
      <c r="AC24" s="85"/>
    </row>
    <row r="25" spans="1:29" ht="15" x14ac:dyDescent="0.25">
      <c r="A25" s="20">
        <v>2017</v>
      </c>
      <c r="B25" s="21">
        <f t="shared" si="2"/>
        <v>0.88541213993142398</v>
      </c>
      <c r="C25" s="25">
        <f t="shared" si="3"/>
        <v>3.7417889571844927</v>
      </c>
      <c r="D25" s="25">
        <f t="shared" si="4"/>
        <v>7.4360524962539643</v>
      </c>
      <c r="E25" s="25">
        <f t="shared" si="5"/>
        <v>1.7866555451775183</v>
      </c>
      <c r="F25" s="47">
        <f t="shared" si="5"/>
        <v>1.9076079938919528</v>
      </c>
      <c r="G25" s="25">
        <f t="shared" si="6"/>
        <v>4.3780726892224564</v>
      </c>
      <c r="H25" s="25">
        <f t="shared" si="7"/>
        <v>3.2228105301351562</v>
      </c>
      <c r="I25" s="26">
        <f t="shared" si="8"/>
        <v>0.40809179563778042</v>
      </c>
      <c r="J25" s="26">
        <f t="shared" si="8"/>
        <v>0.59190820436221947</v>
      </c>
      <c r="K25" s="22">
        <f t="shared" si="0"/>
        <v>0.39776538474790091</v>
      </c>
      <c r="L25" s="48">
        <f t="shared" si="1"/>
        <v>0.60223461525209909</v>
      </c>
      <c r="M25" s="23">
        <v>286712.85169699998</v>
      </c>
      <c r="N25" s="24">
        <v>277016.055482578</v>
      </c>
      <c r="O25" s="24">
        <v>92389.547999999995</v>
      </c>
      <c r="P25" s="24">
        <v>3836102.7489999998</v>
      </c>
      <c r="Q25" s="24">
        <v>3107698.8489999999</v>
      </c>
      <c r="R25" s="24">
        <v>872925.58722786605</v>
      </c>
      <c r="T25" s="89"/>
      <c r="U25" s="85"/>
      <c r="V25" s="85"/>
      <c r="W25" s="85"/>
      <c r="X25" s="85"/>
      <c r="Z25" s="85"/>
      <c r="AA25" s="85"/>
      <c r="AB25" s="85"/>
      <c r="AC25" s="85"/>
    </row>
    <row r="26" spans="1:29" ht="15" x14ac:dyDescent="0.25">
      <c r="A26" s="20">
        <v>2018</v>
      </c>
      <c r="B26" s="21">
        <f t="shared" si="2"/>
        <v>0.94240672458580832</v>
      </c>
      <c r="C26" s="25">
        <f t="shared" si="3"/>
        <v>6.2383717024501051</v>
      </c>
      <c r="D26" s="25">
        <f t="shared" si="4"/>
        <v>8.9360624086621598</v>
      </c>
      <c r="E26" s="25">
        <f t="shared" si="5"/>
        <v>1.4498089069297391</v>
      </c>
      <c r="F26" s="47">
        <f t="shared" si="5"/>
        <v>1.2478817992823155</v>
      </c>
      <c r="G26" s="25">
        <f t="shared" si="6"/>
        <v>3.7174835786869309</v>
      </c>
      <c r="H26" s="25">
        <f t="shared" si="7"/>
        <v>2.0456991272824965</v>
      </c>
      <c r="I26" s="26">
        <f t="shared" si="8"/>
        <v>0.38999739373208814</v>
      </c>
      <c r="J26" s="26">
        <f t="shared" si="8"/>
        <v>0.61000260626791181</v>
      </c>
      <c r="K26" s="22">
        <f t="shared" si="0"/>
        <v>0.38222940271627537</v>
      </c>
      <c r="L26" s="48">
        <f t="shared" si="1"/>
        <v>0.61777059728372463</v>
      </c>
      <c r="M26" s="23">
        <v>315068.16636099998</v>
      </c>
      <c r="N26" s="24">
        <v>302910.10872679402</v>
      </c>
      <c r="O26" s="24">
        <v>98291.803</v>
      </c>
      <c r="P26" s="24">
        <v>3981393.0789999999</v>
      </c>
      <c r="Q26" s="24">
        <v>3249553.8739999998</v>
      </c>
      <c r="R26" s="24">
        <v>890966.92492152494</v>
      </c>
      <c r="T26" s="89"/>
      <c r="U26" s="85"/>
      <c r="V26" s="85"/>
      <c r="W26" s="85"/>
      <c r="X26" s="85"/>
      <c r="Z26" s="85"/>
      <c r="AA26" s="85"/>
      <c r="AB26" s="85"/>
      <c r="AC26" s="85"/>
    </row>
    <row r="27" spans="1:29" ht="15" x14ac:dyDescent="0.25">
      <c r="A27" s="20">
        <f>A26+1</f>
        <v>2019</v>
      </c>
      <c r="B27" s="21">
        <f t="shared" si="2"/>
        <v>0.92314305287359932</v>
      </c>
      <c r="C27" s="25">
        <f t="shared" si="3"/>
        <v>-2.0652739112409946</v>
      </c>
      <c r="D27" s="25">
        <f t="shared" si="4"/>
        <v>5.1410886357286856</v>
      </c>
      <c r="E27" s="25">
        <f t="shared" si="5"/>
        <v>1.2073734668021303</v>
      </c>
      <c r="F27" s="47">
        <f t="shared" si="5"/>
        <v>5.9989890801675498</v>
      </c>
      <c r="G27" s="25">
        <f t="shared" si="6"/>
        <v>3.1838723930887269</v>
      </c>
      <c r="H27" s="25">
        <f t="shared" si="7"/>
        <v>9.6635598758815888</v>
      </c>
      <c r="I27" s="26">
        <f t="shared" si="8"/>
        <v>0.37921540744628823</v>
      </c>
      <c r="J27" s="26">
        <f t="shared" si="8"/>
        <v>0.62078459255371177</v>
      </c>
      <c r="K27" s="22">
        <f t="shared" si="0"/>
        <v>0.37620141217630104</v>
      </c>
      <c r="L27" s="48">
        <f t="shared" si="1"/>
        <v>0.6237985878236989</v>
      </c>
      <c r="M27" s="23">
        <v>343049.327598</v>
      </c>
      <c r="N27" s="24">
        <v>318890.242755279</v>
      </c>
      <c r="O27" s="24">
        <v>106263.64</v>
      </c>
      <c r="P27" s="24">
        <v>4110195.12</v>
      </c>
      <c r="Q27" s="24">
        <v>3384309.9730000002</v>
      </c>
      <c r="R27" s="24">
        <v>981363.47354548902</v>
      </c>
      <c r="T27" s="89"/>
    </row>
    <row r="28" spans="1:29" ht="15" x14ac:dyDescent="0.25">
      <c r="A28" s="20">
        <f t="shared" ref="A28:A30" si="9">A27+1</f>
        <v>2020</v>
      </c>
      <c r="B28" s="21">
        <v>1</v>
      </c>
      <c r="C28" s="25">
        <f t="shared" si="3"/>
        <v>7.9971069626536684</v>
      </c>
      <c r="D28" s="25">
        <f t="shared" si="4"/>
        <v>7.4127765111553501</v>
      </c>
      <c r="E28" s="25">
        <f t="shared" si="5"/>
        <v>-3.5927636342359675</v>
      </c>
      <c r="F28" s="47">
        <f t="shared" si="5"/>
        <v>3.00843318273765</v>
      </c>
      <c r="G28" s="25">
        <f t="shared" si="6"/>
        <v>-9.8535651197295238</v>
      </c>
      <c r="H28" s="25">
        <f t="shared" si="7"/>
        <v>4.734823862910531</v>
      </c>
      <c r="I28" s="26">
        <f t="shared" si="8"/>
        <v>0.36461560770956647</v>
      </c>
      <c r="J28" s="26">
        <f t="shared" si="8"/>
        <v>0.63538439229043342</v>
      </c>
      <c r="K28" s="22">
        <f t="shared" si="0"/>
        <v>0.35302980324283195</v>
      </c>
      <c r="L28" s="48">
        <f t="shared" si="1"/>
        <v>0.64697019675716805</v>
      </c>
      <c r="M28" s="23">
        <v>358665.22809699998</v>
      </c>
      <c r="N28" s="24">
        <v>343427.05879878497</v>
      </c>
      <c r="O28" s="24">
        <v>106103.007</v>
      </c>
      <c r="P28" s="24">
        <v>3724508.3280000002</v>
      </c>
      <c r="Q28" s="24">
        <v>3121016.01</v>
      </c>
      <c r="R28" s="24">
        <v>1028946.91220899</v>
      </c>
    </row>
    <row r="29" spans="1:29" ht="15" x14ac:dyDescent="0.25">
      <c r="A29" s="20">
        <f t="shared" si="9"/>
        <v>2021</v>
      </c>
      <c r="B29" s="21">
        <f>B28*EXP(C29/100)</f>
        <v>1.1501739191559126</v>
      </c>
      <c r="C29" s="25">
        <f t="shared" si="3"/>
        <v>13.991316498906254</v>
      </c>
      <c r="D29" s="25">
        <f t="shared" si="4"/>
        <v>15.253407105969252</v>
      </c>
      <c r="E29" s="25">
        <f t="shared" si="5"/>
        <v>2.4807520400842353</v>
      </c>
      <c r="F29" s="47">
        <f t="shared" si="5"/>
        <v>-1.2186614330212377</v>
      </c>
      <c r="G29" s="25">
        <f t="shared" si="6"/>
        <v>7.2547390923947574</v>
      </c>
      <c r="H29" s="25">
        <f t="shared" si="7"/>
        <v>-1.8519259984699943</v>
      </c>
      <c r="I29" s="26">
        <f t="shared" si="8"/>
        <v>0.34194917397992186</v>
      </c>
      <c r="J29" s="26">
        <f t="shared" si="8"/>
        <v>0.65805082602007814</v>
      </c>
      <c r="K29" s="22">
        <f t="shared" si="0"/>
        <v>0.33086854471701177</v>
      </c>
      <c r="L29" s="48">
        <f t="shared" si="1"/>
        <v>0.66913145528298823</v>
      </c>
      <c r="M29" s="23">
        <v>422643.38340300001</v>
      </c>
      <c r="N29" s="24">
        <v>400017.7068102</v>
      </c>
      <c r="O29" s="24">
        <v>117272.128</v>
      </c>
      <c r="P29" s="24">
        <v>4004754.3450000002</v>
      </c>
      <c r="Q29" s="24">
        <v>3358467.3569999998</v>
      </c>
      <c r="R29" s="24">
        <v>1010066.93799808</v>
      </c>
    </row>
    <row r="30" spans="1:29" ht="15" x14ac:dyDescent="0.25">
      <c r="A30" s="20">
        <f t="shared" si="9"/>
        <v>2022</v>
      </c>
      <c r="B30" s="27">
        <f t="shared" ref="B30" si="10">B29*EXP(C30/100)</f>
        <v>1.2319286888177423</v>
      </c>
      <c r="C30" s="28">
        <f t="shared" si="3"/>
        <v>6.8667815993880543</v>
      </c>
      <c r="D30" s="25">
        <f t="shared" si="4"/>
        <v>8.4186438358266003</v>
      </c>
      <c r="E30" s="28">
        <f t="shared" si="5"/>
        <v>2.760587662966115</v>
      </c>
      <c r="F30" s="51">
        <f t="shared" si="5"/>
        <v>-1.2087254265275689</v>
      </c>
      <c r="G30" s="25">
        <f t="shared" si="6"/>
        <v>8.6231941290801473</v>
      </c>
      <c r="H30" s="25">
        <f t="shared" si="7"/>
        <v>-1.7778907832118662</v>
      </c>
      <c r="I30" s="26">
        <f t="shared" si="8"/>
        <v>0.32013516356503413</v>
      </c>
      <c r="J30" s="26">
        <f t="shared" si="8"/>
        <v>0.67986483643496587</v>
      </c>
      <c r="K30" s="22">
        <f t="shared" si="0"/>
        <v>0.30940178241305649</v>
      </c>
      <c r="L30" s="48">
        <f t="shared" si="1"/>
        <v>0.69059821758694351</v>
      </c>
      <c r="M30" s="23">
        <v>496977.93422900001</v>
      </c>
      <c r="N30" s="23">
        <v>435151.93741241901</v>
      </c>
      <c r="O30" s="23">
        <v>128590.59699999999</v>
      </c>
      <c r="P30" s="24">
        <v>4365419.0319999997</v>
      </c>
      <c r="Q30" s="24">
        <v>3650692.321</v>
      </c>
      <c r="R30" s="24">
        <v>992267.74495192803</v>
      </c>
    </row>
    <row r="31" spans="1:29" ht="15" x14ac:dyDescent="0.25">
      <c r="A31" s="19" t="s">
        <v>23</v>
      </c>
    </row>
    <row r="32" spans="1:29"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40FF-DABB-44F8-98EC-B416B4BC33B3}">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63</v>
      </c>
      <c r="B1" s="16"/>
    </row>
    <row r="2" spans="1:18" ht="102.75" customHeight="1"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0.60952675681295931</v>
      </c>
      <c r="L9" s="48">
        <f t="shared" ref="L9:L30" si="1">1-K9</f>
        <v>0.39047324318704069</v>
      </c>
      <c r="M9" s="23">
        <v>130715.17602300001</v>
      </c>
      <c r="N9" s="24">
        <v>157434.91383502699</v>
      </c>
      <c r="O9" s="24">
        <v>46226.66201</v>
      </c>
      <c r="P9" s="24">
        <v>9284607.6135230009</v>
      </c>
      <c r="Q9" s="24">
        <v>5386880.0085070003</v>
      </c>
      <c r="R9" s="24">
        <v>465736.36698275502</v>
      </c>
    </row>
    <row r="10" spans="1:18" ht="15" x14ac:dyDescent="0.25">
      <c r="A10" s="20">
        <v>2002</v>
      </c>
      <c r="B10" s="21">
        <f t="shared" ref="B10:B27" si="2">B11*EXP(-C11/100)</f>
        <v>1.0489691132040087</v>
      </c>
      <c r="C10" s="25">
        <f t="shared" ref="C10:C30" si="3">D10-E10-F10</f>
        <v>2.2475387887727409</v>
      </c>
      <c r="D10" s="25">
        <f t="shared" ref="D10:D30" si="4">(LN(N10)-LN(N9))*100</f>
        <v>4.6040742497247322</v>
      </c>
      <c r="E10" s="25">
        <f t="shared" ref="E10:F30" si="5">I10*G10</f>
        <v>1.1989624767245821</v>
      </c>
      <c r="F10" s="47">
        <f t="shared" si="5"/>
        <v>1.1575729842274092</v>
      </c>
      <c r="G10" s="25">
        <f t="shared" ref="G10:G30" si="6">(LN(P10)-LN(P9))*100</f>
        <v>1.9265807175184335</v>
      </c>
      <c r="H10" s="25">
        <f t="shared" ref="H10:H30" si="7">(LN(R10)-LN(R9))*100</f>
        <v>3.0650108332903159</v>
      </c>
      <c r="I10" s="26">
        <f t="shared" ref="I10:J30" si="8">(K10+K9)/2</f>
        <v>0.62232662551970674</v>
      </c>
      <c r="J10" s="26">
        <f t="shared" si="8"/>
        <v>0.37767337448029326</v>
      </c>
      <c r="K10" s="22">
        <f t="shared" si="0"/>
        <v>0.63512649422645417</v>
      </c>
      <c r="L10" s="48">
        <f t="shared" si="1"/>
        <v>0.36487350577354583</v>
      </c>
      <c r="M10" s="23">
        <v>141238.87737999999</v>
      </c>
      <c r="N10" s="24">
        <v>164852.786045227</v>
      </c>
      <c r="O10" s="24">
        <v>53014.673986000002</v>
      </c>
      <c r="P10" s="24">
        <v>9465217.2826390006</v>
      </c>
      <c r="Q10" s="24">
        <v>5593867.7742309999</v>
      </c>
      <c r="R10" s="24">
        <v>480232.25251261197</v>
      </c>
    </row>
    <row r="11" spans="1:18" ht="15" x14ac:dyDescent="0.25">
      <c r="A11" s="20">
        <v>2003</v>
      </c>
      <c r="B11" s="21">
        <f t="shared" si="2"/>
        <v>1.089903683083534</v>
      </c>
      <c r="C11" s="25">
        <f t="shared" si="3"/>
        <v>3.8281443250611957</v>
      </c>
      <c r="D11" s="25">
        <f t="shared" si="4"/>
        <v>5.9732226934151811</v>
      </c>
      <c r="E11" s="25">
        <f t="shared" si="5"/>
        <v>0.65801943466396529</v>
      </c>
      <c r="F11" s="47">
        <f t="shared" si="5"/>
        <v>1.48705893369002</v>
      </c>
      <c r="G11" s="25">
        <f t="shared" si="6"/>
        <v>1.0417593719441953</v>
      </c>
      <c r="H11" s="25">
        <f t="shared" si="7"/>
        <v>4.0369985771734562</v>
      </c>
      <c r="I11" s="26">
        <f t="shared" si="8"/>
        <v>0.6316424429529528</v>
      </c>
      <c r="J11" s="26">
        <f t="shared" si="8"/>
        <v>0.36835755704704726</v>
      </c>
      <c r="K11" s="22">
        <f t="shared" si="0"/>
        <v>0.62815839167945131</v>
      </c>
      <c r="L11" s="48">
        <f t="shared" si="1"/>
        <v>0.37184160832054869</v>
      </c>
      <c r="M11" s="23">
        <v>155704.46883500001</v>
      </c>
      <c r="N11" s="24">
        <v>174999.84650270801</v>
      </c>
      <c r="O11" s="24">
        <v>58254.756746999999</v>
      </c>
      <c r="P11" s="24">
        <v>9564337.4712560009</v>
      </c>
      <c r="Q11" s="24">
        <v>5696604.1424399996</v>
      </c>
      <c r="R11" s="24">
        <v>500015.867067029</v>
      </c>
    </row>
    <row r="12" spans="1:18" ht="15" x14ac:dyDescent="0.25">
      <c r="A12" s="20">
        <v>2004</v>
      </c>
      <c r="B12" s="21">
        <f t="shared" si="2"/>
        <v>1.1284268106197679</v>
      </c>
      <c r="C12" s="25">
        <f t="shared" si="3"/>
        <v>3.4735131524734379</v>
      </c>
      <c r="D12" s="25">
        <f t="shared" si="4"/>
        <v>6.0130768893149167</v>
      </c>
      <c r="E12" s="25">
        <f t="shared" si="5"/>
        <v>1.1007490123405077</v>
      </c>
      <c r="F12" s="47">
        <f t="shared" si="5"/>
        <v>1.4388147245009708</v>
      </c>
      <c r="G12" s="25">
        <f t="shared" si="6"/>
        <v>1.7699851715221371</v>
      </c>
      <c r="H12" s="25">
        <f t="shared" si="7"/>
        <v>3.805354346137868</v>
      </c>
      <c r="I12" s="26">
        <f t="shared" si="8"/>
        <v>0.62189730741862359</v>
      </c>
      <c r="J12" s="26">
        <f t="shared" si="8"/>
        <v>0.37810269258137635</v>
      </c>
      <c r="K12" s="22">
        <f t="shared" si="0"/>
        <v>0.61563622315779598</v>
      </c>
      <c r="L12" s="48">
        <f t="shared" si="1"/>
        <v>0.38436377684220402</v>
      </c>
      <c r="M12" s="23">
        <v>169962.40579600001</v>
      </c>
      <c r="N12" s="24">
        <v>185845.53388220901</v>
      </c>
      <c r="O12" s="24">
        <v>62884.725824000001</v>
      </c>
      <c r="P12" s="24">
        <v>9735131.8852350004</v>
      </c>
      <c r="Q12" s="24">
        <v>5850728.9147290001</v>
      </c>
      <c r="R12" s="24">
        <v>519409.90831717598</v>
      </c>
    </row>
    <row r="13" spans="1:18" ht="15" x14ac:dyDescent="0.25">
      <c r="A13" s="20">
        <v>2005</v>
      </c>
      <c r="B13" s="21">
        <f t="shared" si="2"/>
        <v>1.1056773549823173</v>
      </c>
      <c r="C13" s="25">
        <f t="shared" si="3"/>
        <v>-2.0366321616158451</v>
      </c>
      <c r="D13" s="25">
        <f t="shared" si="4"/>
        <v>1.0612734350740283</v>
      </c>
      <c r="E13" s="25">
        <f t="shared" si="5"/>
        <v>2.1375952367084965</v>
      </c>
      <c r="F13" s="47">
        <f t="shared" si="5"/>
        <v>0.9603103599813767</v>
      </c>
      <c r="G13" s="25">
        <f t="shared" si="6"/>
        <v>3.392988401101249</v>
      </c>
      <c r="H13" s="25">
        <f t="shared" si="7"/>
        <v>2.5954593391865899</v>
      </c>
      <c r="I13" s="26">
        <f t="shared" si="8"/>
        <v>0.63000369704025672</v>
      </c>
      <c r="J13" s="26">
        <f t="shared" si="8"/>
        <v>0.36999630295974334</v>
      </c>
      <c r="K13" s="22">
        <f t="shared" si="0"/>
        <v>0.64437117092271734</v>
      </c>
      <c r="L13" s="48">
        <f t="shared" si="1"/>
        <v>0.35562882907728266</v>
      </c>
      <c r="M13" s="23">
        <v>174351.581775</v>
      </c>
      <c r="N13" s="24">
        <v>187828.36618932101</v>
      </c>
      <c r="O13" s="24">
        <v>67083.290794999994</v>
      </c>
      <c r="P13" s="24">
        <v>10071111.422238</v>
      </c>
      <c r="Q13" s="24">
        <v>6013533.9347259998</v>
      </c>
      <c r="R13" s="24">
        <v>533067.45261428703</v>
      </c>
    </row>
    <row r="14" spans="1:18" ht="15" x14ac:dyDescent="0.25">
      <c r="A14" s="20">
        <v>2006</v>
      </c>
      <c r="B14" s="21">
        <f t="shared" si="2"/>
        <v>1.1383438860623967</v>
      </c>
      <c r="C14" s="25">
        <f t="shared" si="3"/>
        <v>2.9116336542932215</v>
      </c>
      <c r="D14" s="25">
        <f t="shared" si="4"/>
        <v>5.111568036170766</v>
      </c>
      <c r="E14" s="25">
        <f t="shared" si="5"/>
        <v>0.74859480402198952</v>
      </c>
      <c r="F14" s="47">
        <f t="shared" si="5"/>
        <v>1.4513395778555556</v>
      </c>
      <c r="G14" s="25">
        <f t="shared" si="6"/>
        <v>1.1817190533420785</v>
      </c>
      <c r="H14" s="25">
        <f t="shared" si="7"/>
        <v>3.9597774419549481</v>
      </c>
      <c r="I14" s="26">
        <f t="shared" si="8"/>
        <v>0.63347950759095517</v>
      </c>
      <c r="J14" s="26">
        <f t="shared" si="8"/>
        <v>0.36652049240904483</v>
      </c>
      <c r="K14" s="22">
        <f t="shared" si="0"/>
        <v>0.622587844259193</v>
      </c>
      <c r="L14" s="48">
        <f t="shared" si="1"/>
        <v>0.377412155740807</v>
      </c>
      <c r="M14" s="23">
        <v>189484.43328900001</v>
      </c>
      <c r="N14" s="24">
        <v>197678.955999522</v>
      </c>
      <c r="O14" s="24">
        <v>71981.214322999993</v>
      </c>
      <c r="P14" s="24">
        <v>10190829.638103999</v>
      </c>
      <c r="Q14" s="24">
        <v>6218054.6712130001</v>
      </c>
      <c r="R14" s="24">
        <v>554599.22918631404</v>
      </c>
    </row>
    <row r="15" spans="1:18" ht="15" x14ac:dyDescent="0.25">
      <c r="A15" s="20">
        <v>2007</v>
      </c>
      <c r="B15" s="21">
        <f t="shared" si="2"/>
        <v>1.1467657146436652</v>
      </c>
      <c r="C15" s="25">
        <f t="shared" si="3"/>
        <v>0.73710833917769669</v>
      </c>
      <c r="D15" s="25">
        <f t="shared" si="4"/>
        <v>2.9157136181410692</v>
      </c>
      <c r="E15" s="25">
        <f t="shared" si="5"/>
        <v>0.48334809579536564</v>
      </c>
      <c r="F15" s="47">
        <f t="shared" si="5"/>
        <v>1.6952571831680068</v>
      </c>
      <c r="G15" s="25">
        <f t="shared" si="6"/>
        <v>0.78075056672979315</v>
      </c>
      <c r="H15" s="25">
        <f t="shared" si="7"/>
        <v>4.4504438794760404</v>
      </c>
      <c r="I15" s="26">
        <f t="shared" si="8"/>
        <v>0.6190813255760923</v>
      </c>
      <c r="J15" s="26">
        <f t="shared" si="8"/>
        <v>0.38091867442390775</v>
      </c>
      <c r="K15" s="22">
        <f t="shared" si="0"/>
        <v>0.61557480689299149</v>
      </c>
      <c r="L15" s="48">
        <f t="shared" si="1"/>
        <v>0.38442519310700851</v>
      </c>
      <c r="M15" s="23">
        <v>201855.13388400001</v>
      </c>
      <c r="N15" s="24">
        <v>203527.55814677701</v>
      </c>
      <c r="O15" s="24">
        <v>77513.606805000003</v>
      </c>
      <c r="P15" s="24">
        <v>10270706.010119</v>
      </c>
      <c r="Q15" s="24">
        <v>6407042.5275440002</v>
      </c>
      <c r="R15" s="24">
        <v>579838.82797391305</v>
      </c>
    </row>
    <row r="16" spans="1:18" ht="15" x14ac:dyDescent="0.25">
      <c r="A16" s="20">
        <v>2008</v>
      </c>
      <c r="B16" s="21">
        <f t="shared" si="2"/>
        <v>1.1305738296492935</v>
      </c>
      <c r="C16" s="25">
        <f t="shared" si="3"/>
        <v>-1.4220240357086849</v>
      </c>
      <c r="D16" s="25">
        <f t="shared" si="4"/>
        <v>0.29305813762476873</v>
      </c>
      <c r="E16" s="25">
        <f t="shared" si="5"/>
        <v>0.39121108722079112</v>
      </c>
      <c r="F16" s="47">
        <f t="shared" si="5"/>
        <v>1.3238710861126624</v>
      </c>
      <c r="G16" s="25">
        <f t="shared" si="6"/>
        <v>0.63493286523232939</v>
      </c>
      <c r="H16" s="25">
        <f t="shared" si="7"/>
        <v>3.4488886006073471</v>
      </c>
      <c r="I16" s="26">
        <f t="shared" si="8"/>
        <v>0.61614559371980593</v>
      </c>
      <c r="J16" s="26">
        <f t="shared" si="8"/>
        <v>0.38385440628019402</v>
      </c>
      <c r="K16" s="22">
        <f t="shared" si="0"/>
        <v>0.61671638054662048</v>
      </c>
      <c r="L16" s="48">
        <f t="shared" si="1"/>
        <v>0.38328361945337952</v>
      </c>
      <c r="M16" s="23">
        <v>210563.87246499999</v>
      </c>
      <c r="N16" s="24">
        <v>204124.88705121301</v>
      </c>
      <c r="O16" s="24">
        <v>81702.420184999995</v>
      </c>
      <c r="P16" s="24">
        <v>10336125.563414</v>
      </c>
      <c r="Q16" s="24">
        <v>6503143.7633309998</v>
      </c>
      <c r="R16" s="24">
        <v>600185.67646999506</v>
      </c>
    </row>
    <row r="17" spans="1:20" ht="15" x14ac:dyDescent="0.25">
      <c r="A17" s="20">
        <v>2009</v>
      </c>
      <c r="B17" s="21">
        <f t="shared" si="2"/>
        <v>1.0977153121894694</v>
      </c>
      <c r="C17" s="25">
        <f t="shared" si="3"/>
        <v>-2.9494286726475805</v>
      </c>
      <c r="D17" s="25">
        <f t="shared" si="4"/>
        <v>-3.3409425098618328</v>
      </c>
      <c r="E17" s="25">
        <f t="shared" si="5"/>
        <v>-1.1461231643214371</v>
      </c>
      <c r="F17" s="47">
        <f t="shared" si="5"/>
        <v>0.75460932710718465</v>
      </c>
      <c r="G17" s="25">
        <f t="shared" si="6"/>
        <v>-1.833113933044217</v>
      </c>
      <c r="H17" s="25">
        <f t="shared" si="7"/>
        <v>2.0135421529710484</v>
      </c>
      <c r="I17" s="26">
        <f t="shared" si="8"/>
        <v>0.62523291305636008</v>
      </c>
      <c r="J17" s="26">
        <f t="shared" si="8"/>
        <v>0.37476708694363986</v>
      </c>
      <c r="K17" s="22">
        <f t="shared" si="0"/>
        <v>0.6337494455660998</v>
      </c>
      <c r="L17" s="48">
        <f t="shared" si="1"/>
        <v>0.3662505544339002</v>
      </c>
      <c r="M17" s="23">
        <v>209179.25418700001</v>
      </c>
      <c r="N17" s="24">
        <v>197417.85482039701</v>
      </c>
      <c r="O17" s="24">
        <v>83529.206630000001</v>
      </c>
      <c r="P17" s="24">
        <v>10148378.670166999</v>
      </c>
      <c r="Q17" s="24">
        <v>6394385.5370589998</v>
      </c>
      <c r="R17" s="24">
        <v>612393.15700257698</v>
      </c>
    </row>
    <row r="18" spans="1:20" ht="15" x14ac:dyDescent="0.25">
      <c r="A18" s="20">
        <v>2010</v>
      </c>
      <c r="B18" s="21">
        <f t="shared" si="2"/>
        <v>1.0741638618875875</v>
      </c>
      <c r="C18" s="25">
        <f t="shared" si="3"/>
        <v>-2.1688474914143074</v>
      </c>
      <c r="D18" s="25">
        <f t="shared" si="4"/>
        <v>-6.0106192254393065</v>
      </c>
      <c r="E18" s="25">
        <f t="shared" si="5"/>
        <v>-3.6579362643704552</v>
      </c>
      <c r="F18" s="47">
        <f t="shared" si="5"/>
        <v>-0.18383546965454384</v>
      </c>
      <c r="G18" s="25">
        <f t="shared" si="6"/>
        <v>-5.6838967170964594</v>
      </c>
      <c r="H18" s="25">
        <f t="shared" si="7"/>
        <v>-0.51575627799120838</v>
      </c>
      <c r="I18" s="26">
        <f t="shared" si="8"/>
        <v>0.64356135349325305</v>
      </c>
      <c r="J18" s="26">
        <f t="shared" si="8"/>
        <v>0.35643864650674695</v>
      </c>
      <c r="K18" s="22">
        <f t="shared" si="0"/>
        <v>0.6533732614204063</v>
      </c>
      <c r="L18" s="48">
        <f t="shared" si="1"/>
        <v>0.3466267385795937</v>
      </c>
      <c r="M18" s="23">
        <v>197195.61891600001</v>
      </c>
      <c r="N18" s="24">
        <v>185901.391630039</v>
      </c>
      <c r="O18" s="24">
        <v>81038.566814999998</v>
      </c>
      <c r="P18" s="24">
        <v>9587642.1063529998</v>
      </c>
      <c r="Q18" s="24">
        <v>6030383.7021150002</v>
      </c>
      <c r="R18" s="24">
        <v>609242.83183260495</v>
      </c>
    </row>
    <row r="19" spans="1:20" ht="15" x14ac:dyDescent="0.25">
      <c r="A19" s="20">
        <v>2011</v>
      </c>
      <c r="B19" s="21">
        <f t="shared" si="2"/>
        <v>1.0066781993453904</v>
      </c>
      <c r="C19" s="25">
        <f t="shared" si="3"/>
        <v>-6.4886557082330558</v>
      </c>
      <c r="D19" s="25">
        <f t="shared" si="4"/>
        <v>-9.2935255214200652</v>
      </c>
      <c r="E19" s="25">
        <f t="shared" si="5"/>
        <v>-2.2381176095521109</v>
      </c>
      <c r="F19" s="47">
        <f t="shared" si="5"/>
        <v>-0.56675220363489842</v>
      </c>
      <c r="G19" s="25">
        <f t="shared" si="6"/>
        <v>-3.3848767197483198</v>
      </c>
      <c r="H19" s="25">
        <f t="shared" si="7"/>
        <v>-1.6728764767533377</v>
      </c>
      <c r="I19" s="26">
        <f t="shared" si="8"/>
        <v>0.66121096715112404</v>
      </c>
      <c r="J19" s="26">
        <f t="shared" si="8"/>
        <v>0.33878903284887596</v>
      </c>
      <c r="K19" s="22">
        <f t="shared" si="0"/>
        <v>0.66904867288184178</v>
      </c>
      <c r="L19" s="48">
        <f t="shared" si="1"/>
        <v>0.33095132711815822</v>
      </c>
      <c r="M19" s="23">
        <v>178347.30752100001</v>
      </c>
      <c r="N19" s="24">
        <v>169403.10736214701</v>
      </c>
      <c r="O19" s="24">
        <v>74885.963770000002</v>
      </c>
      <c r="P19" s="24">
        <v>9268543.2584489994</v>
      </c>
      <c r="Q19" s="24">
        <v>5816846.9078500001</v>
      </c>
      <c r="R19" s="24">
        <v>599135.72720678104</v>
      </c>
    </row>
    <row r="20" spans="1:20" ht="15" x14ac:dyDescent="0.25">
      <c r="A20" s="20">
        <v>2012</v>
      </c>
      <c r="B20" s="21">
        <f t="shared" si="2"/>
        <v>0.95353414385024016</v>
      </c>
      <c r="C20" s="25">
        <f t="shared" si="3"/>
        <v>-5.4236044571987048</v>
      </c>
      <c r="D20" s="25">
        <f t="shared" si="4"/>
        <v>-7.4706507669709765</v>
      </c>
      <c r="E20" s="25">
        <f t="shared" si="5"/>
        <v>-1.3822064061611266</v>
      </c>
      <c r="F20" s="47">
        <f t="shared" si="5"/>
        <v>-0.66483990361114598</v>
      </c>
      <c r="G20" s="25">
        <f t="shared" si="6"/>
        <v>-2.0456245328329459</v>
      </c>
      <c r="H20" s="25">
        <f t="shared" si="7"/>
        <v>-2.0500085278888136</v>
      </c>
      <c r="I20" s="26">
        <f t="shared" si="8"/>
        <v>0.67568920101233609</v>
      </c>
      <c r="J20" s="26">
        <f t="shared" si="8"/>
        <v>0.32431079898766396</v>
      </c>
      <c r="K20" s="22">
        <f t="shared" si="0"/>
        <v>0.6823297291428303</v>
      </c>
      <c r="L20" s="48">
        <f t="shared" si="1"/>
        <v>0.3176702708571697</v>
      </c>
      <c r="M20" s="23">
        <v>163766.19218499999</v>
      </c>
      <c r="N20" s="24">
        <v>157208.76221487101</v>
      </c>
      <c r="O20" s="24">
        <v>68386.531545000005</v>
      </c>
      <c r="P20" s="24">
        <v>9080869.7557350006</v>
      </c>
      <c r="Q20" s="24">
        <v>5557500.1011899998</v>
      </c>
      <c r="R20" s="24">
        <v>586978.43225619697</v>
      </c>
    </row>
    <row r="21" spans="1:20" ht="15" x14ac:dyDescent="0.25">
      <c r="A21" s="20">
        <v>2013</v>
      </c>
      <c r="B21" s="21">
        <f t="shared" si="2"/>
        <v>0.94672032249220628</v>
      </c>
      <c r="C21" s="25">
        <f t="shared" si="3"/>
        <v>-0.7171513796647554</v>
      </c>
      <c r="D21" s="25">
        <f t="shared" si="4"/>
        <v>-1.679122294222779</v>
      </c>
      <c r="E21" s="25">
        <f t="shared" si="5"/>
        <v>-0.16540247450659837</v>
      </c>
      <c r="F21" s="47">
        <f t="shared" si="5"/>
        <v>-0.79656844005142535</v>
      </c>
      <c r="G21" s="25">
        <f t="shared" si="6"/>
        <v>-0.248601656202041</v>
      </c>
      <c r="H21" s="25">
        <f t="shared" si="7"/>
        <v>-2.3801704468676022</v>
      </c>
      <c r="I21" s="26">
        <f t="shared" si="8"/>
        <v>0.66533134587073772</v>
      </c>
      <c r="J21" s="26">
        <f t="shared" si="8"/>
        <v>0.33466865412926233</v>
      </c>
      <c r="K21" s="22">
        <f t="shared" si="0"/>
        <v>0.64833296259864504</v>
      </c>
      <c r="L21" s="48">
        <f t="shared" si="1"/>
        <v>0.35166703740135496</v>
      </c>
      <c r="M21" s="23">
        <v>157795.28317499999</v>
      </c>
      <c r="N21" s="24">
        <v>154591.07344137999</v>
      </c>
      <c r="O21" s="24">
        <v>62778.410231000002</v>
      </c>
      <c r="P21" s="24">
        <v>9058322.6010369994</v>
      </c>
      <c r="Q21" s="24">
        <v>5558607.0950069996</v>
      </c>
      <c r="R21" s="24">
        <v>573172.30158576695</v>
      </c>
    </row>
    <row r="22" spans="1:20" ht="15" x14ac:dyDescent="0.25">
      <c r="A22" s="20">
        <v>2014</v>
      </c>
      <c r="B22" s="21">
        <f t="shared" si="2"/>
        <v>0.94819900782590916</v>
      </c>
      <c r="C22" s="25">
        <f t="shared" si="3"/>
        <v>0.15606845211667097</v>
      </c>
      <c r="D22" s="25">
        <f t="shared" si="4"/>
        <v>0.11548866808599456</v>
      </c>
      <c r="E22" s="25">
        <f t="shared" si="5"/>
        <v>0.71335288479044012</v>
      </c>
      <c r="F22" s="47">
        <f t="shared" si="5"/>
        <v>-0.75393266882111654</v>
      </c>
      <c r="G22" s="25">
        <f t="shared" si="6"/>
        <v>1.1011154432615911</v>
      </c>
      <c r="H22" s="25">
        <f t="shared" si="7"/>
        <v>-2.1409155852785133</v>
      </c>
      <c r="I22" s="26">
        <f t="shared" si="8"/>
        <v>0.6478456815367446</v>
      </c>
      <c r="J22" s="26">
        <f t="shared" si="8"/>
        <v>0.35215431846325546</v>
      </c>
      <c r="K22" s="22">
        <f t="shared" si="0"/>
        <v>0.64735840047484405</v>
      </c>
      <c r="L22" s="48">
        <f t="shared" si="1"/>
        <v>0.35264159952515595</v>
      </c>
      <c r="M22" s="23">
        <v>155355.365448</v>
      </c>
      <c r="N22" s="24">
        <v>154769.71174672199</v>
      </c>
      <c r="O22" s="24">
        <v>63106.042815000001</v>
      </c>
      <c r="P22" s="24">
        <v>9158616.3517409991</v>
      </c>
      <c r="Q22" s="24">
        <v>5746848.7863520002</v>
      </c>
      <c r="R22" s="24">
        <v>561031.59135237196</v>
      </c>
    </row>
    <row r="23" spans="1:20" ht="15" x14ac:dyDescent="0.25">
      <c r="A23" s="20">
        <v>2015</v>
      </c>
      <c r="B23" s="21">
        <f t="shared" si="2"/>
        <v>0.97849690183720284</v>
      </c>
      <c r="C23" s="25">
        <f t="shared" si="3"/>
        <v>3.1453216503145267</v>
      </c>
      <c r="D23" s="25">
        <f t="shared" si="4"/>
        <v>7.0509839531496254E-3</v>
      </c>
      <c r="E23" s="25">
        <f t="shared" si="5"/>
        <v>-2.3667607832215851</v>
      </c>
      <c r="F23" s="47">
        <f t="shared" si="5"/>
        <v>-0.77150988313979185</v>
      </c>
      <c r="G23" s="25">
        <f t="shared" si="6"/>
        <v>-3.7278636185407166</v>
      </c>
      <c r="H23" s="25">
        <f t="shared" si="7"/>
        <v>-2.1130538781275021</v>
      </c>
      <c r="I23" s="26">
        <f t="shared" si="8"/>
        <v>0.63488395107867723</v>
      </c>
      <c r="J23" s="26">
        <f t="shared" si="8"/>
        <v>0.36511604892132277</v>
      </c>
      <c r="K23" s="22">
        <f t="shared" si="0"/>
        <v>0.62240950168251041</v>
      </c>
      <c r="L23" s="48">
        <f t="shared" si="1"/>
        <v>0.37759049831748959</v>
      </c>
      <c r="M23" s="23">
        <v>154780.62491899999</v>
      </c>
      <c r="N23" s="24">
        <v>154780.62491899999</v>
      </c>
      <c r="O23" s="24">
        <v>62288.112102999999</v>
      </c>
      <c r="P23" s="24">
        <v>8823481.1273159999</v>
      </c>
      <c r="Q23" s="24">
        <v>5704956.2646540003</v>
      </c>
      <c r="R23" s="24">
        <v>549301.06420300005</v>
      </c>
    </row>
    <row r="24" spans="1:20" ht="15" x14ac:dyDescent="0.25">
      <c r="A24" s="20">
        <v>2016</v>
      </c>
      <c r="B24" s="21">
        <f t="shared" si="2"/>
        <v>0.95996571182722823</v>
      </c>
      <c r="C24" s="25">
        <f t="shared" si="3"/>
        <v>-1.9120053616845234</v>
      </c>
      <c r="D24" s="25">
        <f t="shared" si="4"/>
        <v>-0.34749163421174956</v>
      </c>
      <c r="E24" s="25">
        <f t="shared" si="5"/>
        <v>2.3361871648640462</v>
      </c>
      <c r="F24" s="47">
        <f t="shared" si="5"/>
        <v>-0.77167343739127237</v>
      </c>
      <c r="G24" s="25">
        <f t="shared" si="6"/>
        <v>3.7420720304671917</v>
      </c>
      <c r="H24" s="25">
        <f t="shared" si="7"/>
        <v>-2.0539787128852183</v>
      </c>
      <c r="I24" s="26">
        <f t="shared" si="8"/>
        <v>0.62430309888299429</v>
      </c>
      <c r="J24" s="26">
        <f t="shared" si="8"/>
        <v>0.37569690111700565</v>
      </c>
      <c r="K24" s="22">
        <f t="shared" si="0"/>
        <v>0.62619669608347828</v>
      </c>
      <c r="L24" s="48">
        <f t="shared" si="1"/>
        <v>0.37380330391652172</v>
      </c>
      <c r="M24" s="23">
        <v>152015.61058400001</v>
      </c>
      <c r="N24" s="24">
        <v>154243.70860593501</v>
      </c>
      <c r="O24" s="24">
        <v>63529.888488999997</v>
      </c>
      <c r="P24" s="24">
        <v>9159917.7381299995</v>
      </c>
      <c r="Q24" s="24">
        <v>6113229.5873769997</v>
      </c>
      <c r="R24" s="24">
        <v>538133.61836483097</v>
      </c>
    </row>
    <row r="25" spans="1:20" ht="15" x14ac:dyDescent="0.25">
      <c r="A25" s="20">
        <v>2017</v>
      </c>
      <c r="B25" s="21">
        <f t="shared" si="2"/>
        <v>0.98985159823106761</v>
      </c>
      <c r="C25" s="25">
        <f t="shared" si="3"/>
        <v>3.0657464138308916</v>
      </c>
      <c r="D25" s="25">
        <f t="shared" si="4"/>
        <v>2.2211591846625467</v>
      </c>
      <c r="E25" s="25">
        <f t="shared" si="5"/>
        <v>-0.18541089776185868</v>
      </c>
      <c r="F25" s="47">
        <f t="shared" si="5"/>
        <v>-0.65917633140648624</v>
      </c>
      <c r="G25" s="25">
        <f t="shared" si="6"/>
        <v>-0.29668876546757872</v>
      </c>
      <c r="H25" s="25">
        <f t="shared" si="7"/>
        <v>-1.757494244117197</v>
      </c>
      <c r="I25" s="26">
        <f t="shared" si="8"/>
        <v>0.62493400270702137</v>
      </c>
      <c r="J25" s="26">
        <f t="shared" si="8"/>
        <v>0.37506599729297868</v>
      </c>
      <c r="K25" s="22">
        <f t="shared" si="0"/>
        <v>0.62367130933056436</v>
      </c>
      <c r="L25" s="48">
        <f t="shared" si="1"/>
        <v>0.37632869066943564</v>
      </c>
      <c r="M25" s="23">
        <v>154782.29564</v>
      </c>
      <c r="N25" s="24">
        <v>157708.03862107301</v>
      </c>
      <c r="O25" s="24">
        <v>64075.869315000004</v>
      </c>
      <c r="P25" s="24">
        <v>9132781.5661670007</v>
      </c>
      <c r="Q25" s="24">
        <v>6062064.1545120003</v>
      </c>
      <c r="R25" s="24">
        <v>528758.57522942906</v>
      </c>
    </row>
    <row r="26" spans="1:20" ht="15" x14ac:dyDescent="0.25">
      <c r="A26" s="20">
        <v>2018</v>
      </c>
      <c r="B26" s="21">
        <f t="shared" si="2"/>
        <v>0.98273874469968203</v>
      </c>
      <c r="C26" s="25">
        <f t="shared" si="3"/>
        <v>-0.72117197414976231</v>
      </c>
      <c r="D26" s="25">
        <f t="shared" si="4"/>
        <v>1.7113540410766959</v>
      </c>
      <c r="E26" s="25">
        <f t="shared" si="5"/>
        <v>3.2355324687833411</v>
      </c>
      <c r="F26" s="47">
        <f t="shared" si="5"/>
        <v>-0.80300645355688294</v>
      </c>
      <c r="G26" s="25">
        <f t="shared" si="6"/>
        <v>5.2031930781332392</v>
      </c>
      <c r="H26" s="25">
        <f t="shared" si="7"/>
        <v>-2.1234340927442474</v>
      </c>
      <c r="I26" s="26">
        <f t="shared" si="8"/>
        <v>0.62183594192975056</v>
      </c>
      <c r="J26" s="26">
        <f t="shared" si="8"/>
        <v>0.37816405807024939</v>
      </c>
      <c r="K26" s="22">
        <f t="shared" si="0"/>
        <v>0.62000057452893687</v>
      </c>
      <c r="L26" s="48">
        <f t="shared" si="1"/>
        <v>0.37999942547106313</v>
      </c>
      <c r="M26" s="23">
        <v>156634.91878099999</v>
      </c>
      <c r="N26" s="24">
        <v>160430.20805418701</v>
      </c>
      <c r="O26" s="24">
        <v>66360.921809000007</v>
      </c>
      <c r="P26" s="24">
        <v>9620557.7504949998</v>
      </c>
      <c r="Q26" s="24">
        <v>6574034.5602559997</v>
      </c>
      <c r="R26" s="24">
        <v>517649.10395763902</v>
      </c>
    </row>
    <row r="27" spans="1:20" ht="15" x14ac:dyDescent="0.25">
      <c r="A27" s="20">
        <f>A26+1</f>
        <v>2019</v>
      </c>
      <c r="B27" s="21">
        <f t="shared" si="2"/>
        <v>1.0090093642654283</v>
      </c>
      <c r="C27" s="25">
        <f t="shared" si="3"/>
        <v>2.6380989675128075</v>
      </c>
      <c r="D27" s="25">
        <f t="shared" si="4"/>
        <v>1.756275212533609</v>
      </c>
      <c r="E27" s="25">
        <f t="shared" si="5"/>
        <v>-4.9801711744588015E-2</v>
      </c>
      <c r="F27" s="47">
        <f t="shared" si="5"/>
        <v>-0.8320220432346106</v>
      </c>
      <c r="G27" s="25">
        <f t="shared" si="6"/>
        <v>-8.0868176021553495E-2</v>
      </c>
      <c r="H27" s="25">
        <f t="shared" si="7"/>
        <v>-2.1658114823191355</v>
      </c>
      <c r="I27" s="26">
        <f t="shared" si="8"/>
        <v>0.61583819735608414</v>
      </c>
      <c r="J27" s="26">
        <f t="shared" si="8"/>
        <v>0.38416180264391586</v>
      </c>
      <c r="K27" s="22">
        <f t="shared" si="0"/>
        <v>0.61167582018323141</v>
      </c>
      <c r="L27" s="48">
        <f t="shared" si="1"/>
        <v>0.38832417981676859</v>
      </c>
      <c r="M27" s="23">
        <v>160732.62632700001</v>
      </c>
      <c r="N27" s="24">
        <v>163272.691887789</v>
      </c>
      <c r="O27" s="24">
        <v>68215.934489000007</v>
      </c>
      <c r="P27" s="24">
        <v>9612780.9258309994</v>
      </c>
      <c r="Q27" s="24">
        <v>6669749.5100530004</v>
      </c>
      <c r="R27" s="24">
        <v>506558.33631466201</v>
      </c>
    </row>
    <row r="28" spans="1:20" ht="15" x14ac:dyDescent="0.25">
      <c r="A28" s="20">
        <f t="shared" ref="A28:A30" si="9">A27+1</f>
        <v>2020</v>
      </c>
      <c r="B28" s="21">
        <v>1</v>
      </c>
      <c r="C28" s="25">
        <f t="shared" si="3"/>
        <v>-0.89690220671853149</v>
      </c>
      <c r="D28" s="25">
        <f t="shared" si="4"/>
        <v>-9.539447738393747</v>
      </c>
      <c r="E28" s="25">
        <f t="shared" si="5"/>
        <v>-7.9386913633396166</v>
      </c>
      <c r="F28" s="47">
        <f t="shared" si="5"/>
        <v>-0.703854168335599</v>
      </c>
      <c r="G28" s="25">
        <f t="shared" si="6"/>
        <v>-12.585859613428596</v>
      </c>
      <c r="H28" s="25">
        <f t="shared" si="7"/>
        <v>-1.9062382238535847</v>
      </c>
      <c r="I28" s="26">
        <f t="shared" si="8"/>
        <v>0.63076274542815958</v>
      </c>
      <c r="J28" s="26">
        <f t="shared" si="8"/>
        <v>0.36923725457184042</v>
      </c>
      <c r="K28" s="22">
        <f t="shared" si="0"/>
        <v>0.64984967067308774</v>
      </c>
      <c r="L28" s="48">
        <f t="shared" si="1"/>
        <v>0.35015032932691226</v>
      </c>
      <c r="M28" s="23">
        <v>147236.26377799999</v>
      </c>
      <c r="N28" s="24">
        <v>148417.20815922201</v>
      </c>
      <c r="O28" s="24">
        <v>65290.151393</v>
      </c>
      <c r="P28" s="24">
        <v>8475968.8331129998</v>
      </c>
      <c r="Q28" s="24">
        <v>5783747.6381829996</v>
      </c>
      <c r="R28" s="24">
        <v>496993.58082483098</v>
      </c>
    </row>
    <row r="29" spans="1:20" ht="15" x14ac:dyDescent="0.25">
      <c r="A29" s="20">
        <f t="shared" si="9"/>
        <v>2021</v>
      </c>
      <c r="B29" s="21">
        <f>B28*EXP(C29/100)</f>
        <v>1.0085951352051332</v>
      </c>
      <c r="C29" s="25">
        <f t="shared" si="3"/>
        <v>0.85584073344923439</v>
      </c>
      <c r="D29" s="25">
        <f t="shared" si="4"/>
        <v>7.8119226003989795</v>
      </c>
      <c r="E29" s="25">
        <f t="shared" si="5"/>
        <v>7.4264024546030258</v>
      </c>
      <c r="F29" s="47">
        <f t="shared" si="5"/>
        <v>-0.47032058765328077</v>
      </c>
      <c r="G29" s="25">
        <f t="shared" si="6"/>
        <v>11.565011016039151</v>
      </c>
      <c r="H29" s="25">
        <f t="shared" si="7"/>
        <v>-1.3142733110745652</v>
      </c>
      <c r="I29" s="26">
        <f t="shared" si="8"/>
        <v>0.64214400179157471</v>
      </c>
      <c r="J29" s="26">
        <f t="shared" si="8"/>
        <v>0.35785599820842529</v>
      </c>
      <c r="K29" s="22">
        <f t="shared" si="0"/>
        <v>0.63443833291006169</v>
      </c>
      <c r="L29" s="48">
        <f t="shared" si="1"/>
        <v>0.36556166708993831</v>
      </c>
      <c r="M29" s="23">
        <v>161015.42572299999</v>
      </c>
      <c r="N29" s="24">
        <v>160476.338489535</v>
      </c>
      <c r="O29" s="24">
        <v>70113.917748000007</v>
      </c>
      <c r="P29" s="24">
        <v>9515148.1757430006</v>
      </c>
      <c r="Q29" s="24">
        <v>6530747.4674800001</v>
      </c>
      <c r="R29" s="24">
        <v>490504.46261463198</v>
      </c>
    </row>
    <row r="30" spans="1:20" ht="15" x14ac:dyDescent="0.25">
      <c r="A30" s="20">
        <f t="shared" si="9"/>
        <v>2022</v>
      </c>
      <c r="B30" s="27">
        <f t="shared" ref="B30" si="10">B29*EXP(C30/100)</f>
        <v>1.039925779228748</v>
      </c>
      <c r="C30" s="28">
        <f t="shared" si="3"/>
        <v>3.0590937145902037</v>
      </c>
      <c r="D30" s="25">
        <f t="shared" si="4"/>
        <v>5.1600962982414345</v>
      </c>
      <c r="E30" s="28">
        <f t="shared" si="5"/>
        <v>2.3615643318297521</v>
      </c>
      <c r="F30" s="51">
        <f t="shared" si="5"/>
        <v>-0.26056174817852146</v>
      </c>
      <c r="G30" s="25">
        <f t="shared" si="6"/>
        <v>3.8942034821594973</v>
      </c>
      <c r="H30" s="25">
        <f t="shared" si="7"/>
        <v>-0.66204785833381408</v>
      </c>
      <c r="I30" s="26">
        <f t="shared" si="8"/>
        <v>0.60643064561181248</v>
      </c>
      <c r="J30" s="26">
        <f t="shared" si="8"/>
        <v>0.39356935438818758</v>
      </c>
      <c r="K30" s="22">
        <f t="shared" si="0"/>
        <v>0.57842295831356316</v>
      </c>
      <c r="L30" s="48">
        <f t="shared" si="1"/>
        <v>0.42157704168643684</v>
      </c>
      <c r="M30" s="23">
        <v>183408.67469300001</v>
      </c>
      <c r="N30" s="23">
        <v>168974.44170023999</v>
      </c>
      <c r="O30" s="23">
        <v>73551.210577999998</v>
      </c>
      <c r="P30" s="24">
        <v>9892996.7547529992</v>
      </c>
      <c r="Q30" s="24">
        <v>6858865.6614269996</v>
      </c>
      <c r="R30" s="24">
        <v>487267.814227572</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8084-3691-4C1A-B453-41176C77317D}">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64</v>
      </c>
      <c r="B1" s="16"/>
    </row>
    <row r="2" spans="1:18" ht="103.5" customHeight="1"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0.65033026695570673</v>
      </c>
      <c r="L9" s="48">
        <f t="shared" ref="L9:L30" si="1">1-K9</f>
        <v>0.34966973304429327</v>
      </c>
      <c r="M9" s="23">
        <v>638972</v>
      </c>
      <c r="N9" s="24">
        <v>832550.865844107</v>
      </c>
      <c r="O9" s="24">
        <v>336896</v>
      </c>
      <c r="P9" s="24">
        <v>30469188.800000001</v>
      </c>
      <c r="Q9" s="24">
        <v>24702502.5</v>
      </c>
      <c r="R9" s="24">
        <v>2704864.8486644099</v>
      </c>
    </row>
    <row r="10" spans="1:18" ht="15" x14ac:dyDescent="0.25">
      <c r="A10" s="20">
        <v>2002</v>
      </c>
      <c r="B10" s="21">
        <f t="shared" ref="B10:B27" si="2">B11*EXP(-C11/100)</f>
        <v>0.99792737941631948</v>
      </c>
      <c r="C10" s="25">
        <f t="shared" ref="C10:C30" si="3">D10-E10-F10</f>
        <v>-0.40857180510941538</v>
      </c>
      <c r="D10" s="25">
        <f t="shared" ref="D10:D30" si="4">(LN(N10)-LN(N9))*100</f>
        <v>2.6415861290731257</v>
      </c>
      <c r="E10" s="25">
        <f t="shared" ref="E10:F30" si="5">I10*G10</f>
        <v>1.6338969314570568</v>
      </c>
      <c r="F10" s="47">
        <f t="shared" si="5"/>
        <v>1.4162610027254843</v>
      </c>
      <c r="G10" s="25">
        <f t="shared" ref="G10:G30" si="6">(LN(P10)-LN(P9))*100</f>
        <v>2.5244927937130512</v>
      </c>
      <c r="H10" s="25">
        <f t="shared" ref="H10:H30" si="7">(LN(R10)-LN(R9))*100</f>
        <v>4.0145489631408182</v>
      </c>
      <c r="I10" s="26">
        <f t="shared" ref="I10:J30" si="8">(K10+K9)/2</f>
        <v>0.64721790275103286</v>
      </c>
      <c r="J10" s="26">
        <f t="shared" si="8"/>
        <v>0.35278209724896714</v>
      </c>
      <c r="K10" s="22">
        <f t="shared" si="0"/>
        <v>0.64410553854635899</v>
      </c>
      <c r="L10" s="48">
        <f t="shared" si="1"/>
        <v>0.35589446145364101</v>
      </c>
      <c r="M10" s="23">
        <v>683365</v>
      </c>
      <c r="N10" s="24">
        <v>854836.46479071199</v>
      </c>
      <c r="O10" s="24">
        <v>358651</v>
      </c>
      <c r="P10" s="24">
        <v>31248172.600000001</v>
      </c>
      <c r="Q10" s="24">
        <v>25461671.199999999</v>
      </c>
      <c r="R10" s="24">
        <v>2815662.0970664099</v>
      </c>
    </row>
    <row r="11" spans="1:18" ht="15" x14ac:dyDescent="0.25">
      <c r="A11" s="20">
        <v>2003</v>
      </c>
      <c r="B11" s="21">
        <f t="shared" si="2"/>
        <v>0.99256771739215144</v>
      </c>
      <c r="C11" s="25">
        <f t="shared" si="3"/>
        <v>-0.53852682036438315</v>
      </c>
      <c r="D11" s="25">
        <f t="shared" si="4"/>
        <v>2.6279747547627963</v>
      </c>
      <c r="E11" s="25">
        <f t="shared" si="5"/>
        <v>1.6687906487389754</v>
      </c>
      <c r="F11" s="47">
        <f t="shared" si="5"/>
        <v>1.497710926388204</v>
      </c>
      <c r="G11" s="25">
        <f t="shared" si="6"/>
        <v>2.6047907626150391</v>
      </c>
      <c r="H11" s="25">
        <f t="shared" si="7"/>
        <v>4.1679734097128218</v>
      </c>
      <c r="I11" s="26">
        <f t="shared" si="8"/>
        <v>0.6406620726279062</v>
      </c>
      <c r="J11" s="26">
        <f t="shared" si="8"/>
        <v>0.3593379273720938</v>
      </c>
      <c r="K11" s="22">
        <f t="shared" si="0"/>
        <v>0.63721860670945341</v>
      </c>
      <c r="L11" s="48">
        <f t="shared" si="1"/>
        <v>0.36278139329054659</v>
      </c>
      <c r="M11" s="23">
        <v>728182</v>
      </c>
      <c r="N11" s="24">
        <v>877599.139933503</v>
      </c>
      <c r="O11" s="24">
        <v>380011</v>
      </c>
      <c r="P11" s="24">
        <v>32072815.600000001</v>
      </c>
      <c r="Q11" s="24">
        <v>26266660.899999999</v>
      </c>
      <c r="R11" s="24">
        <v>2935498.16452485</v>
      </c>
    </row>
    <row r="12" spans="1:18" ht="15" x14ac:dyDescent="0.25">
      <c r="A12" s="20">
        <v>2004</v>
      </c>
      <c r="B12" s="21">
        <f t="shared" si="2"/>
        <v>0.98767390574600122</v>
      </c>
      <c r="C12" s="25">
        <f t="shared" si="3"/>
        <v>-0.49426509895227411</v>
      </c>
      <c r="D12" s="25">
        <f t="shared" si="4"/>
        <v>2.7636059463445051</v>
      </c>
      <c r="E12" s="25">
        <f t="shared" si="5"/>
        <v>1.7492043915778546</v>
      </c>
      <c r="F12" s="47">
        <f t="shared" si="5"/>
        <v>1.5086666537189246</v>
      </c>
      <c r="G12" s="25">
        <f t="shared" si="6"/>
        <v>2.7439252667850411</v>
      </c>
      <c r="H12" s="25">
        <f t="shared" si="7"/>
        <v>4.1616383585326489</v>
      </c>
      <c r="I12" s="26">
        <f t="shared" si="8"/>
        <v>0.63748251920407972</v>
      </c>
      <c r="J12" s="26">
        <f t="shared" si="8"/>
        <v>0.36251748079592028</v>
      </c>
      <c r="K12" s="22">
        <f t="shared" si="0"/>
        <v>0.63774643169870604</v>
      </c>
      <c r="L12" s="48">
        <f t="shared" si="1"/>
        <v>0.36225356830129396</v>
      </c>
      <c r="M12" s="23">
        <v>775872</v>
      </c>
      <c r="N12" s="24">
        <v>902190.764612564</v>
      </c>
      <c r="O12" s="24">
        <v>405676</v>
      </c>
      <c r="P12" s="24">
        <v>32965054.899999999</v>
      </c>
      <c r="Q12" s="24">
        <v>27026823.300000001</v>
      </c>
      <c r="R12" s="24">
        <v>3060240.6444182401</v>
      </c>
    </row>
    <row r="13" spans="1:18" ht="15" x14ac:dyDescent="0.25">
      <c r="A13" s="20">
        <v>2005</v>
      </c>
      <c r="B13" s="21">
        <f t="shared" si="2"/>
        <v>0.98470305735542618</v>
      </c>
      <c r="C13" s="25">
        <f t="shared" si="3"/>
        <v>-0.30124572460858312</v>
      </c>
      <c r="D13" s="25">
        <f t="shared" si="4"/>
        <v>3.2988182423858703</v>
      </c>
      <c r="E13" s="25">
        <f t="shared" si="5"/>
        <v>2.0234178458602461</v>
      </c>
      <c r="F13" s="47">
        <f t="shared" si="5"/>
        <v>1.5766461211342073</v>
      </c>
      <c r="G13" s="25">
        <f t="shared" si="6"/>
        <v>3.1794048530297658</v>
      </c>
      <c r="H13" s="25">
        <f t="shared" si="7"/>
        <v>4.3363777429632933</v>
      </c>
      <c r="I13" s="26">
        <f t="shared" si="8"/>
        <v>0.63641402696232929</v>
      </c>
      <c r="J13" s="26">
        <f t="shared" si="8"/>
        <v>0.36358597303767071</v>
      </c>
      <c r="K13" s="22">
        <f t="shared" si="0"/>
        <v>0.63508162222595255</v>
      </c>
      <c r="L13" s="48">
        <f t="shared" si="1"/>
        <v>0.36491837777404745</v>
      </c>
      <c r="M13" s="23">
        <v>833031</v>
      </c>
      <c r="N13" s="24">
        <v>932448.73191484401</v>
      </c>
      <c r="O13" s="24">
        <v>435445</v>
      </c>
      <c r="P13" s="24">
        <v>34029987</v>
      </c>
      <c r="Q13" s="24">
        <v>28009437.199999999</v>
      </c>
      <c r="R13" s="24">
        <v>3195863.5476619899</v>
      </c>
    </row>
    <row r="14" spans="1:18" ht="15" x14ac:dyDescent="0.25">
      <c r="A14" s="20">
        <v>2006</v>
      </c>
      <c r="B14" s="21">
        <f t="shared" si="2"/>
        <v>0.98745032590343174</v>
      </c>
      <c r="C14" s="25">
        <f t="shared" si="3"/>
        <v>0.27860615187265636</v>
      </c>
      <c r="D14" s="25">
        <f t="shared" si="4"/>
        <v>4.0975575437947498</v>
      </c>
      <c r="E14" s="25">
        <f t="shared" si="5"/>
        <v>2.1687222997682425</v>
      </c>
      <c r="F14" s="47">
        <f t="shared" si="5"/>
        <v>1.6502290921538509</v>
      </c>
      <c r="G14" s="25">
        <f t="shared" si="6"/>
        <v>3.4131976286509769</v>
      </c>
      <c r="H14" s="25">
        <f t="shared" si="7"/>
        <v>4.5260503710645494</v>
      </c>
      <c r="I14" s="26">
        <f t="shared" si="8"/>
        <v>0.63539312273148463</v>
      </c>
      <c r="J14" s="26">
        <f t="shared" si="8"/>
        <v>0.36460687726851543</v>
      </c>
      <c r="K14" s="22">
        <f t="shared" si="0"/>
        <v>0.6357046232370166</v>
      </c>
      <c r="L14" s="48">
        <f t="shared" si="1"/>
        <v>0.3642953767629834</v>
      </c>
      <c r="M14" s="23">
        <v>898262</v>
      </c>
      <c r="N14" s="24">
        <v>971449.94712941104</v>
      </c>
      <c r="O14" s="24">
        <v>471958</v>
      </c>
      <c r="P14" s="24">
        <v>35211547.5</v>
      </c>
      <c r="Q14" s="24">
        <v>29102484.5</v>
      </c>
      <c r="R14" s="24">
        <v>3343833.2748469701</v>
      </c>
    </row>
    <row r="15" spans="1:18" ht="15" x14ac:dyDescent="0.25">
      <c r="A15" s="20">
        <v>2007</v>
      </c>
      <c r="B15" s="21">
        <f t="shared" si="2"/>
        <v>0.99431166417072991</v>
      </c>
      <c r="C15" s="25">
        <f t="shared" si="3"/>
        <v>0.69245103274204833</v>
      </c>
      <c r="D15" s="25">
        <f t="shared" si="4"/>
        <v>3.8935102993491455</v>
      </c>
      <c r="E15" s="25">
        <f t="shared" si="5"/>
        <v>1.5717584076084092</v>
      </c>
      <c r="F15" s="47">
        <f t="shared" si="5"/>
        <v>1.6293008589986879</v>
      </c>
      <c r="G15" s="25">
        <f t="shared" si="6"/>
        <v>2.4781944938762734</v>
      </c>
      <c r="H15" s="25">
        <f t="shared" si="7"/>
        <v>4.4545053741883223</v>
      </c>
      <c r="I15" s="26">
        <f t="shared" si="8"/>
        <v>0.63423529165781489</v>
      </c>
      <c r="J15" s="26">
        <f t="shared" si="8"/>
        <v>0.36576470834218511</v>
      </c>
      <c r="K15" s="22">
        <f t="shared" si="0"/>
        <v>0.63276596007861319</v>
      </c>
      <c r="L15" s="48">
        <f t="shared" si="1"/>
        <v>0.36723403992138681</v>
      </c>
      <c r="M15" s="23">
        <v>970997</v>
      </c>
      <c r="N15" s="24">
        <v>1010019.43200406</v>
      </c>
      <c r="O15" s="24">
        <v>509107</v>
      </c>
      <c r="P15" s="24">
        <v>36095060.5</v>
      </c>
      <c r="Q15" s="24">
        <v>29908583.600000001</v>
      </c>
      <c r="R15" s="24">
        <v>3496151.84131691</v>
      </c>
    </row>
    <row r="16" spans="1:18" ht="15" x14ac:dyDescent="0.25">
      <c r="A16" s="20">
        <v>2008</v>
      </c>
      <c r="B16" s="21">
        <f t="shared" si="2"/>
        <v>0.98738908987555851</v>
      </c>
      <c r="C16" s="25">
        <f t="shared" si="3"/>
        <v>-0.69865265373500041</v>
      </c>
      <c r="D16" s="25">
        <f t="shared" si="4"/>
        <v>1.0974626351805128</v>
      </c>
      <c r="E16" s="25">
        <f t="shared" si="5"/>
        <v>0.4293199852055764</v>
      </c>
      <c r="F16" s="47">
        <f t="shared" si="5"/>
        <v>1.3667953037099367</v>
      </c>
      <c r="G16" s="25">
        <f t="shared" si="6"/>
        <v>0.67315542880592716</v>
      </c>
      <c r="H16" s="25">
        <f t="shared" si="7"/>
        <v>3.7733057392049574</v>
      </c>
      <c r="I16" s="26">
        <f t="shared" si="8"/>
        <v>0.63777244724464777</v>
      </c>
      <c r="J16" s="26">
        <f t="shared" si="8"/>
        <v>0.36222755275535218</v>
      </c>
      <c r="K16" s="22">
        <f t="shared" si="0"/>
        <v>0.64277893441068246</v>
      </c>
      <c r="L16" s="48">
        <f t="shared" si="1"/>
        <v>0.35722106558931754</v>
      </c>
      <c r="M16" s="23">
        <v>1025304</v>
      </c>
      <c r="N16" s="24">
        <v>1021165.06559338</v>
      </c>
      <c r="O16" s="24">
        <v>545226</v>
      </c>
      <c r="P16" s="24">
        <v>36338856</v>
      </c>
      <c r="Q16" s="24">
        <v>30063083.399999999</v>
      </c>
      <c r="R16" s="24">
        <v>3630592.82317837</v>
      </c>
    </row>
    <row r="17" spans="1:20" ht="15" x14ac:dyDescent="0.25">
      <c r="A17" s="20">
        <v>2009</v>
      </c>
      <c r="B17" s="21">
        <f t="shared" si="2"/>
        <v>0.98548132658056886</v>
      </c>
      <c r="C17" s="25">
        <f t="shared" si="3"/>
        <v>-0.19339981721234567</v>
      </c>
      <c r="D17" s="25">
        <f t="shared" si="4"/>
        <v>-3.3207789124631404</v>
      </c>
      <c r="E17" s="25">
        <f t="shared" si="5"/>
        <v>-3.9475270227220824</v>
      </c>
      <c r="F17" s="47">
        <f t="shared" si="5"/>
        <v>0.82014792747128773</v>
      </c>
      <c r="G17" s="25">
        <f t="shared" si="6"/>
        <v>-6.1595610520370769</v>
      </c>
      <c r="H17" s="25">
        <f t="shared" si="7"/>
        <v>2.2837583708083642</v>
      </c>
      <c r="I17" s="26">
        <f t="shared" si="8"/>
        <v>0.64087797642927247</v>
      </c>
      <c r="J17" s="26">
        <f t="shared" si="8"/>
        <v>0.35912202357072753</v>
      </c>
      <c r="K17" s="22">
        <f t="shared" si="0"/>
        <v>0.63897701844786248</v>
      </c>
      <c r="L17" s="48">
        <f t="shared" si="1"/>
        <v>0.36102298155213752</v>
      </c>
      <c r="M17" s="23">
        <v>1005567</v>
      </c>
      <c r="N17" s="24">
        <v>987811.29889525403</v>
      </c>
      <c r="O17" s="24">
        <v>531653</v>
      </c>
      <c r="P17" s="24">
        <v>34168083.299999997</v>
      </c>
      <c r="Q17" s="24">
        <v>28271746.300000001</v>
      </c>
      <c r="R17" s="24">
        <v>3714460.8167317398</v>
      </c>
    </row>
    <row r="18" spans="1:20" ht="15" x14ac:dyDescent="0.25">
      <c r="A18" s="20">
        <v>2010</v>
      </c>
      <c r="B18" s="21">
        <f t="shared" si="2"/>
        <v>0.9918240598267325</v>
      </c>
      <c r="C18" s="25">
        <f t="shared" si="3"/>
        <v>0.64155542638738672</v>
      </c>
      <c r="D18" s="25">
        <f t="shared" si="4"/>
        <v>-0.17545501467939317</v>
      </c>
      <c r="E18" s="25">
        <f t="shared" si="5"/>
        <v>-1.4745200364345659</v>
      </c>
      <c r="F18" s="47">
        <f t="shared" si="5"/>
        <v>0.65750959536778597</v>
      </c>
      <c r="G18" s="25">
        <f t="shared" si="6"/>
        <v>-2.294907922165379</v>
      </c>
      <c r="H18" s="25">
        <f t="shared" si="7"/>
        <v>1.8392811565776768</v>
      </c>
      <c r="I18" s="26">
        <f t="shared" si="8"/>
        <v>0.64251816911384863</v>
      </c>
      <c r="J18" s="26">
        <f t="shared" si="8"/>
        <v>0.35748183088615137</v>
      </c>
      <c r="K18" s="22">
        <f t="shared" si="0"/>
        <v>0.64605931977983477</v>
      </c>
      <c r="L18" s="48">
        <f t="shared" si="1"/>
        <v>0.35394068022016523</v>
      </c>
      <c r="M18" s="23">
        <v>989756</v>
      </c>
      <c r="N18" s="24">
        <v>986079.65400889795</v>
      </c>
      <c r="O18" s="24">
        <v>528815</v>
      </c>
      <c r="P18" s="24">
        <v>33392886.300000001</v>
      </c>
      <c r="Q18" s="24">
        <v>27615771.800000001</v>
      </c>
      <c r="R18" s="24">
        <v>3783412.3571250299</v>
      </c>
    </row>
    <row r="19" spans="1:20" ht="15" x14ac:dyDescent="0.25">
      <c r="A19" s="20">
        <v>2011</v>
      </c>
      <c r="B19" s="21">
        <f t="shared" si="2"/>
        <v>0.99828352342708726</v>
      </c>
      <c r="C19" s="25">
        <f t="shared" si="3"/>
        <v>0.64915950661268473</v>
      </c>
      <c r="D19" s="25">
        <f t="shared" si="4"/>
        <v>-0.25180267956042002</v>
      </c>
      <c r="E19" s="25">
        <f t="shared" si="5"/>
        <v>-1.3707127341157406</v>
      </c>
      <c r="F19" s="47">
        <f t="shared" si="5"/>
        <v>0.46975054794263577</v>
      </c>
      <c r="G19" s="25">
        <f t="shared" si="6"/>
        <v>-2.1404582517170923</v>
      </c>
      <c r="H19" s="25">
        <f t="shared" si="7"/>
        <v>1.3062517593160905</v>
      </c>
      <c r="I19" s="26">
        <f t="shared" si="8"/>
        <v>0.6403828399905227</v>
      </c>
      <c r="J19" s="26">
        <f t="shared" si="8"/>
        <v>0.3596171600094773</v>
      </c>
      <c r="K19" s="22">
        <f t="shared" si="0"/>
        <v>0.63470636020121063</v>
      </c>
      <c r="L19" s="48">
        <f t="shared" si="1"/>
        <v>0.36529363979878937</v>
      </c>
      <c r="M19" s="23">
        <v>984997</v>
      </c>
      <c r="N19" s="24">
        <v>983599.80249406898</v>
      </c>
      <c r="O19" s="24">
        <v>515740</v>
      </c>
      <c r="P19" s="24">
        <v>32685720.800000001</v>
      </c>
      <c r="Q19" s="24">
        <v>26963801.699999999</v>
      </c>
      <c r="R19" s="24">
        <v>3833157.4382720301</v>
      </c>
    </row>
    <row r="20" spans="1:20" ht="15" x14ac:dyDescent="0.25">
      <c r="A20" s="20">
        <v>2012</v>
      </c>
      <c r="B20" s="21">
        <f t="shared" si="2"/>
        <v>0.99795760956763702</v>
      </c>
      <c r="C20" s="25">
        <f t="shared" si="3"/>
        <v>-3.265275491614289E-2</v>
      </c>
      <c r="D20" s="25">
        <f t="shared" si="4"/>
        <v>-2.8269260047027345</v>
      </c>
      <c r="E20" s="25">
        <f t="shared" si="5"/>
        <v>-3.1027560182391514</v>
      </c>
      <c r="F20" s="47">
        <f t="shared" si="5"/>
        <v>0.30848276845255979</v>
      </c>
      <c r="G20" s="25">
        <f t="shared" si="6"/>
        <v>-4.9348209946622035</v>
      </c>
      <c r="H20" s="25">
        <f t="shared" si="7"/>
        <v>0.83092426406370379</v>
      </c>
      <c r="I20" s="26">
        <f t="shared" si="8"/>
        <v>0.62874743006793499</v>
      </c>
      <c r="J20" s="26">
        <f t="shared" si="8"/>
        <v>0.37125256993206496</v>
      </c>
      <c r="K20" s="22">
        <f t="shared" si="0"/>
        <v>0.62278849993465946</v>
      </c>
      <c r="L20" s="48">
        <f t="shared" si="1"/>
        <v>0.37721150006534054</v>
      </c>
      <c r="M20" s="23">
        <v>953037</v>
      </c>
      <c r="N20" s="24">
        <v>956183.50885144796</v>
      </c>
      <c r="O20" s="24">
        <v>483951</v>
      </c>
      <c r="P20" s="24">
        <v>31111891.199999999</v>
      </c>
      <c r="Q20" s="24">
        <v>25367487.600000001</v>
      </c>
      <c r="R20" s="24">
        <v>3865140.76811053</v>
      </c>
    </row>
    <row r="21" spans="1:20" ht="15" x14ac:dyDescent="0.25">
      <c r="A21" s="20">
        <v>2013</v>
      </c>
      <c r="B21" s="21">
        <f t="shared" si="2"/>
        <v>1.0009049519466824</v>
      </c>
      <c r="C21" s="25">
        <f t="shared" si="3"/>
        <v>0.29490216804421365</v>
      </c>
      <c r="D21" s="25">
        <f t="shared" si="4"/>
        <v>-1.284607705762042</v>
      </c>
      <c r="E21" s="25">
        <f t="shared" si="5"/>
        <v>-1.7914624300002737</v>
      </c>
      <c r="F21" s="47">
        <f t="shared" si="5"/>
        <v>0.21195255619401812</v>
      </c>
      <c r="G21" s="25">
        <f t="shared" si="6"/>
        <v>-2.879513633214259</v>
      </c>
      <c r="H21" s="25">
        <f t="shared" si="7"/>
        <v>0.56092973690251569</v>
      </c>
      <c r="I21" s="26">
        <f t="shared" si="8"/>
        <v>0.62214063143731413</v>
      </c>
      <c r="J21" s="26">
        <f t="shared" si="8"/>
        <v>0.37785936856268593</v>
      </c>
      <c r="K21" s="22">
        <f t="shared" si="0"/>
        <v>0.62149276293996869</v>
      </c>
      <c r="L21" s="48">
        <f t="shared" si="1"/>
        <v>0.37850723706003131</v>
      </c>
      <c r="M21" s="23">
        <v>937641</v>
      </c>
      <c r="N21" s="24">
        <v>943978.86057712999</v>
      </c>
      <c r="O21" s="24">
        <v>470153</v>
      </c>
      <c r="P21" s="24">
        <v>30228795.5</v>
      </c>
      <c r="Q21" s="24">
        <v>24388629.100000001</v>
      </c>
      <c r="R21" s="24">
        <v>3886882.4127199999</v>
      </c>
    </row>
    <row r="22" spans="1:20" ht="15" x14ac:dyDescent="0.25">
      <c r="A22" s="20">
        <v>2014</v>
      </c>
      <c r="B22" s="21">
        <f t="shared" si="2"/>
        <v>1.0026088758311769</v>
      </c>
      <c r="C22" s="25">
        <f t="shared" si="3"/>
        <v>0.17009358974058203</v>
      </c>
      <c r="D22" s="25">
        <f t="shared" si="4"/>
        <v>1.075328948507881</v>
      </c>
      <c r="E22" s="25">
        <f t="shared" si="5"/>
        <v>0.6440770006553812</v>
      </c>
      <c r="F22" s="47">
        <f t="shared" si="5"/>
        <v>0.26115835811191773</v>
      </c>
      <c r="G22" s="25">
        <f t="shared" si="6"/>
        <v>1.0340569869068617</v>
      </c>
      <c r="H22" s="25">
        <f t="shared" si="7"/>
        <v>0.69247816404764961</v>
      </c>
      <c r="I22" s="26">
        <f t="shared" si="8"/>
        <v>0.62286412529544055</v>
      </c>
      <c r="J22" s="26">
        <f t="shared" si="8"/>
        <v>0.37713587470455945</v>
      </c>
      <c r="K22" s="22">
        <f t="shared" si="0"/>
        <v>0.62423548765091241</v>
      </c>
      <c r="L22" s="48">
        <f t="shared" si="1"/>
        <v>0.37576451234908759</v>
      </c>
      <c r="M22" s="23">
        <v>946493</v>
      </c>
      <c r="N22" s="24">
        <v>954184.51235416101</v>
      </c>
      <c r="O22" s="24">
        <v>476301</v>
      </c>
      <c r="P22" s="24">
        <v>30543000.199999999</v>
      </c>
      <c r="Q22" s="24">
        <v>24622226.800000001</v>
      </c>
      <c r="R22" s="24">
        <v>3913891.63323736</v>
      </c>
    </row>
    <row r="23" spans="1:20" ht="15" x14ac:dyDescent="0.25">
      <c r="A23" s="20">
        <v>2015</v>
      </c>
      <c r="B23" s="21">
        <f t="shared" si="2"/>
        <v>1.0158219759129856</v>
      </c>
      <c r="C23" s="25">
        <f t="shared" si="3"/>
        <v>1.3092634623348911</v>
      </c>
      <c r="D23" s="25">
        <f t="shared" si="4"/>
        <v>3.4760856398378337</v>
      </c>
      <c r="E23" s="25">
        <f t="shared" si="5"/>
        <v>1.8395213426020247</v>
      </c>
      <c r="F23" s="47">
        <f t="shared" si="5"/>
        <v>0.32730083490091794</v>
      </c>
      <c r="G23" s="25">
        <f t="shared" si="6"/>
        <v>2.9525717476733604</v>
      </c>
      <c r="H23" s="25">
        <f t="shared" si="7"/>
        <v>0.86822590757371643</v>
      </c>
      <c r="I23" s="26">
        <f t="shared" si="8"/>
        <v>0.62302341816132856</v>
      </c>
      <c r="J23" s="26">
        <f t="shared" si="8"/>
        <v>0.3769765818386715</v>
      </c>
      <c r="K23" s="22">
        <f t="shared" si="0"/>
        <v>0.62181134867174459</v>
      </c>
      <c r="L23" s="48">
        <f t="shared" si="1"/>
        <v>0.37818865132825541</v>
      </c>
      <c r="M23" s="23">
        <v>987936</v>
      </c>
      <c r="N23" s="24">
        <v>987936</v>
      </c>
      <c r="O23" s="24">
        <v>497019</v>
      </c>
      <c r="P23" s="24">
        <v>31458249.399999999</v>
      </c>
      <c r="Q23" s="24">
        <v>25451892.899999999</v>
      </c>
      <c r="R23" s="24">
        <v>3948021</v>
      </c>
    </row>
    <row r="24" spans="1:20" ht="15" x14ac:dyDescent="0.25">
      <c r="A24" s="20">
        <v>2016</v>
      </c>
      <c r="B24" s="21">
        <f t="shared" si="2"/>
        <v>1.0232399323632591</v>
      </c>
      <c r="C24" s="25">
        <f t="shared" si="3"/>
        <v>0.72758842139657098</v>
      </c>
      <c r="D24" s="25">
        <f t="shared" si="4"/>
        <v>2.6206502359277906</v>
      </c>
      <c r="E24" s="25">
        <f t="shared" si="5"/>
        <v>1.5602306234149388</v>
      </c>
      <c r="F24" s="47">
        <f t="shared" si="5"/>
        <v>0.33283119111628079</v>
      </c>
      <c r="G24" s="25">
        <f t="shared" si="6"/>
        <v>2.5212319914018622</v>
      </c>
      <c r="H24" s="25">
        <f t="shared" si="7"/>
        <v>0.87319818132680638</v>
      </c>
      <c r="I24" s="26">
        <f t="shared" si="8"/>
        <v>0.61883659605136743</v>
      </c>
      <c r="J24" s="26">
        <f t="shared" si="8"/>
        <v>0.38116340394863257</v>
      </c>
      <c r="K24" s="22">
        <f t="shared" si="0"/>
        <v>0.61586184343099026</v>
      </c>
      <c r="L24" s="48">
        <f t="shared" si="1"/>
        <v>0.38413815656900974</v>
      </c>
      <c r="M24" s="23">
        <v>1019400</v>
      </c>
      <c r="N24" s="24">
        <v>1014168.57785287</v>
      </c>
      <c r="O24" s="24">
        <v>508025</v>
      </c>
      <c r="P24" s="24">
        <v>32261467.800000001</v>
      </c>
      <c r="Q24" s="24">
        <v>26106056.899999999</v>
      </c>
      <c r="R24" s="24">
        <v>3982646</v>
      </c>
    </row>
    <row r="25" spans="1:20" ht="15" x14ac:dyDescent="0.25">
      <c r="A25" s="20">
        <v>2017</v>
      </c>
      <c r="B25" s="21">
        <f t="shared" si="2"/>
        <v>1.0360759631718208</v>
      </c>
      <c r="C25" s="25">
        <f t="shared" si="3"/>
        <v>1.2466467214921146</v>
      </c>
      <c r="D25" s="25">
        <f t="shared" si="4"/>
        <v>2.9803071475020815</v>
      </c>
      <c r="E25" s="25">
        <f t="shared" si="5"/>
        <v>1.2991077818086769</v>
      </c>
      <c r="F25" s="47">
        <f t="shared" si="5"/>
        <v>0.43455264420128997</v>
      </c>
      <c r="G25" s="25">
        <f t="shared" si="6"/>
        <v>2.1184959577489337</v>
      </c>
      <c r="H25" s="25">
        <f t="shared" si="7"/>
        <v>1.1235188000036089</v>
      </c>
      <c r="I25" s="26">
        <f t="shared" si="8"/>
        <v>0.61322174208398283</v>
      </c>
      <c r="J25" s="26">
        <f t="shared" si="8"/>
        <v>0.38677825791601717</v>
      </c>
      <c r="K25" s="22">
        <f t="shared" si="0"/>
        <v>0.61058164073697541</v>
      </c>
      <c r="L25" s="48">
        <f t="shared" si="1"/>
        <v>0.38941835926302459</v>
      </c>
      <c r="M25" s="23">
        <v>1061122</v>
      </c>
      <c r="N25" s="24">
        <v>1044848.8284416799</v>
      </c>
      <c r="O25" s="24">
        <v>528140</v>
      </c>
      <c r="P25" s="24">
        <v>32952216.600000001</v>
      </c>
      <c r="Q25" s="24">
        <v>26861152</v>
      </c>
      <c r="R25" s="24">
        <v>4027644.0841759802</v>
      </c>
    </row>
    <row r="26" spans="1:20" ht="15" x14ac:dyDescent="0.25">
      <c r="A26" s="20">
        <v>2018</v>
      </c>
      <c r="B26" s="21">
        <f t="shared" si="2"/>
        <v>1.0401909424734812</v>
      </c>
      <c r="C26" s="25">
        <f t="shared" si="3"/>
        <v>0.39638301591502312</v>
      </c>
      <c r="D26" s="25">
        <f t="shared" si="4"/>
        <v>2.4239881286707288</v>
      </c>
      <c r="E26" s="25">
        <f t="shared" si="5"/>
        <v>1.4927660977537571</v>
      </c>
      <c r="F26" s="47">
        <f t="shared" si="5"/>
        <v>0.53483901500194853</v>
      </c>
      <c r="G26" s="25">
        <f t="shared" si="6"/>
        <v>2.438448814072558</v>
      </c>
      <c r="H26" s="25">
        <f t="shared" si="7"/>
        <v>1.3790857539703438</v>
      </c>
      <c r="I26" s="26">
        <f t="shared" si="8"/>
        <v>0.61217856579102203</v>
      </c>
      <c r="J26" s="26">
        <f t="shared" si="8"/>
        <v>0.38782143420897797</v>
      </c>
      <c r="K26" s="22">
        <f t="shared" si="0"/>
        <v>0.61377549084506866</v>
      </c>
      <c r="L26" s="48">
        <f t="shared" si="1"/>
        <v>0.38622450915493134</v>
      </c>
      <c r="M26" s="23">
        <v>1097845</v>
      </c>
      <c r="N26" s="24">
        <v>1070485.2972256499</v>
      </c>
      <c r="O26" s="24">
        <v>550649</v>
      </c>
      <c r="P26" s="24">
        <v>33765616.399999999</v>
      </c>
      <c r="Q26" s="24">
        <v>27593002.899999999</v>
      </c>
      <c r="R26" s="24">
        <v>4083573.5209874799</v>
      </c>
    </row>
    <row r="27" spans="1:20" ht="15" x14ac:dyDescent="0.25">
      <c r="A27" s="20">
        <f>A26+1</f>
        <v>2019</v>
      </c>
      <c r="B27" s="21">
        <f t="shared" si="2"/>
        <v>1.0443285138813694</v>
      </c>
      <c r="C27" s="25">
        <f t="shared" si="3"/>
        <v>0.39698135981253357</v>
      </c>
      <c r="D27" s="25">
        <f t="shared" si="4"/>
        <v>2.0511111829932815</v>
      </c>
      <c r="E27" s="25">
        <f t="shared" si="5"/>
        <v>1.0644552636296327</v>
      </c>
      <c r="F27" s="47">
        <f t="shared" si="5"/>
        <v>0.58967455955111525</v>
      </c>
      <c r="G27" s="25">
        <f t="shared" si="6"/>
        <v>1.7116350109155576</v>
      </c>
      <c r="H27" s="25">
        <f t="shared" si="7"/>
        <v>1.5595475992668639</v>
      </c>
      <c r="I27" s="26">
        <f t="shared" si="8"/>
        <v>0.62189383650212504</v>
      </c>
      <c r="J27" s="26">
        <f t="shared" si="8"/>
        <v>0.37810616349787496</v>
      </c>
      <c r="K27" s="22">
        <f t="shared" si="0"/>
        <v>0.63001218215918142</v>
      </c>
      <c r="L27" s="48">
        <f t="shared" si="1"/>
        <v>0.36998781784081858</v>
      </c>
      <c r="M27" s="23">
        <v>1137968</v>
      </c>
      <c r="N27" s="24">
        <v>1092668.86799565</v>
      </c>
      <c r="O27" s="24">
        <v>585833</v>
      </c>
      <c r="P27" s="24">
        <v>34348535</v>
      </c>
      <c r="Q27" s="24">
        <v>28067456.199999999</v>
      </c>
      <c r="R27" s="24">
        <v>4147757.9865433401</v>
      </c>
    </row>
    <row r="28" spans="1:20" ht="15" x14ac:dyDescent="0.25">
      <c r="A28" s="20">
        <f t="shared" ref="A28:A30" si="9">A27+1</f>
        <v>2020</v>
      </c>
      <c r="B28" s="21">
        <v>1</v>
      </c>
      <c r="C28" s="25">
        <f t="shared" si="3"/>
        <v>-4.3374108431452321</v>
      </c>
      <c r="D28" s="25">
        <f t="shared" si="4"/>
        <v>-11.501113013280495</v>
      </c>
      <c r="E28" s="25">
        <f t="shared" si="5"/>
        <v>-7.4976856100144529</v>
      </c>
      <c r="F28" s="47">
        <f t="shared" si="5"/>
        <v>0.33398343987918966</v>
      </c>
      <c r="G28" s="25">
        <f t="shared" si="6"/>
        <v>-11.631303570045759</v>
      </c>
      <c r="H28" s="25">
        <f t="shared" si="7"/>
        <v>0.93977305454071569</v>
      </c>
      <c r="I28" s="26">
        <f t="shared" si="8"/>
        <v>0.64461266657361915</v>
      </c>
      <c r="J28" s="26">
        <f t="shared" si="8"/>
        <v>0.35538733342638079</v>
      </c>
      <c r="K28" s="22">
        <f t="shared" si="0"/>
        <v>0.659213150988057</v>
      </c>
      <c r="L28" s="48">
        <f t="shared" si="1"/>
        <v>0.340786849011943</v>
      </c>
      <c r="M28" s="23">
        <v>1030964</v>
      </c>
      <c r="N28" s="24">
        <v>973957.19509907102</v>
      </c>
      <c r="O28" s="24">
        <v>561866</v>
      </c>
      <c r="P28" s="24">
        <v>30576946.199999999</v>
      </c>
      <c r="Q28" s="24">
        <v>25278860.800000001</v>
      </c>
      <c r="R28" s="24">
        <v>4186921.23305505</v>
      </c>
    </row>
    <row r="29" spans="1:20" ht="15" x14ac:dyDescent="0.25">
      <c r="A29" s="20">
        <f t="shared" si="9"/>
        <v>2021</v>
      </c>
      <c r="B29" s="21">
        <f>B28*EXP(C29/100)</f>
        <v>1.011522833654581</v>
      </c>
      <c r="C29" s="25">
        <f t="shared" si="3"/>
        <v>1.1456951423844755</v>
      </c>
      <c r="D29" s="25">
        <f t="shared" si="4"/>
        <v>6.0932909356901988</v>
      </c>
      <c r="E29" s="25">
        <f t="shared" si="5"/>
        <v>4.6020706802343687</v>
      </c>
      <c r="F29" s="47">
        <f t="shared" si="5"/>
        <v>0.34552511307135458</v>
      </c>
      <c r="G29" s="25">
        <f t="shared" si="6"/>
        <v>6.9813922658603644</v>
      </c>
      <c r="H29" s="25">
        <f t="shared" si="7"/>
        <v>1.0138378799359415</v>
      </c>
      <c r="I29" s="26">
        <f t="shared" si="8"/>
        <v>0.6591909614847038</v>
      </c>
      <c r="J29" s="26">
        <f t="shared" si="8"/>
        <v>0.34080903851529626</v>
      </c>
      <c r="K29" s="22">
        <f t="shared" si="0"/>
        <v>0.65916877198135049</v>
      </c>
      <c r="L29" s="48">
        <f t="shared" si="1"/>
        <v>0.34083122801864951</v>
      </c>
      <c r="M29" s="23">
        <v>1118595</v>
      </c>
      <c r="N29" s="24">
        <v>1035148.594021</v>
      </c>
      <c r="O29" s="24">
        <v>604193</v>
      </c>
      <c r="P29" s="24">
        <v>32787923.300000001</v>
      </c>
      <c r="Q29" s="24">
        <v>26867057.300000001</v>
      </c>
      <c r="R29" s="24">
        <v>4229585.7355177198</v>
      </c>
    </row>
    <row r="30" spans="1:20" ht="15" x14ac:dyDescent="0.25">
      <c r="A30" s="20">
        <f t="shared" si="9"/>
        <v>2022</v>
      </c>
      <c r="B30" s="27">
        <f t="shared" ref="B30" si="10">B29*EXP(C30/100)</f>
        <v>1.0439523559674388</v>
      </c>
      <c r="C30" s="28">
        <f t="shared" si="3"/>
        <v>3.1556900948731603</v>
      </c>
      <c r="D30" s="25">
        <f t="shared" si="4"/>
        <v>6.4848082184994382</v>
      </c>
      <c r="E30" s="28">
        <f t="shared" si="5"/>
        <v>3.0120432735924454</v>
      </c>
      <c r="F30" s="51">
        <f t="shared" si="5"/>
        <v>0.31707485003383246</v>
      </c>
      <c r="G30" s="25">
        <f t="shared" si="6"/>
        <v>4.6480497809753274</v>
      </c>
      <c r="H30" s="25">
        <f t="shared" si="7"/>
        <v>0.90083974642016784</v>
      </c>
      <c r="I30" s="26">
        <f t="shared" si="8"/>
        <v>0.6480230237466198</v>
      </c>
      <c r="J30" s="26">
        <f t="shared" si="8"/>
        <v>0.3519769762533802</v>
      </c>
      <c r="K30" s="22">
        <f t="shared" si="0"/>
        <v>0.63687727551188911</v>
      </c>
      <c r="L30" s="48">
        <f t="shared" si="1"/>
        <v>0.36312272448811089</v>
      </c>
      <c r="M30" s="23">
        <v>1252481</v>
      </c>
      <c r="N30" s="23">
        <v>1104500.3576610701</v>
      </c>
      <c r="O30" s="23">
        <v>655862</v>
      </c>
      <c r="P30" s="24">
        <v>34347895.600000001</v>
      </c>
      <c r="Q30" s="24">
        <v>28241366.300000001</v>
      </c>
      <c r="R30" s="24">
        <v>4267859.6594609097</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FC0E7-1438-4476-8D6C-FA78A6A03C07}">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65</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0.67855721087553844</v>
      </c>
      <c r="L9" s="48">
        <f t="shared" ref="L9:L30" si="1">1-K9</f>
        <v>0.32144278912446156</v>
      </c>
      <c r="M9" s="23">
        <v>1373817.1</v>
      </c>
      <c r="N9" s="24">
        <v>1646247.98527573</v>
      </c>
      <c r="O9" s="24">
        <v>781643.5</v>
      </c>
      <c r="P9" s="24">
        <v>39691245</v>
      </c>
      <c r="Q9" s="24">
        <v>33280363</v>
      </c>
      <c r="R9" s="24">
        <v>5618723.99966197</v>
      </c>
    </row>
    <row r="10" spans="1:18" ht="15" x14ac:dyDescent="0.25">
      <c r="A10" s="20">
        <v>2002</v>
      </c>
      <c r="B10" s="21">
        <f t="shared" ref="B10:B27" si="2">B11*EXP(-C11/100)</f>
        <v>0.95149551970612811</v>
      </c>
      <c r="C10" s="25">
        <f t="shared" ref="C10:C30" si="3">D10-E10-F10</f>
        <v>1.5963724393847927</v>
      </c>
      <c r="D10" s="25">
        <f t="shared" ref="D10:D30" si="4">(LN(N10)-LN(N9))*100</f>
        <v>1.0233252530749581</v>
      </c>
      <c r="E10" s="25">
        <f t="shared" ref="E10:F30" si="5">I10*G10</f>
        <v>-1.1740461530385107</v>
      </c>
      <c r="F10" s="47">
        <f t="shared" si="5"/>
        <v>0.60099896672867592</v>
      </c>
      <c r="G10" s="25">
        <f t="shared" ref="G10:G30" si="6">(LN(P10)-LN(P9))*100</f>
        <v>-1.7241298382611348</v>
      </c>
      <c r="H10" s="25">
        <f t="shared" ref="H10:H30" si="7">(LN(R10)-LN(R9))*100</f>
        <v>1.8837138405253029</v>
      </c>
      <c r="I10" s="26">
        <f t="shared" ref="I10:J30" si="8">(K10+K9)/2</f>
        <v>0.6809499650110985</v>
      </c>
      <c r="J10" s="26">
        <f t="shared" si="8"/>
        <v>0.3190500349889015</v>
      </c>
      <c r="K10" s="22">
        <f t="shared" si="0"/>
        <v>0.68334271914665856</v>
      </c>
      <c r="L10" s="48">
        <f t="shared" si="1"/>
        <v>0.31665728085334144</v>
      </c>
      <c r="M10" s="23">
        <v>1417481.7</v>
      </c>
      <c r="N10" s="24">
        <v>1663180.9485144501</v>
      </c>
      <c r="O10" s="24">
        <v>813793.9</v>
      </c>
      <c r="P10" s="24">
        <v>39012782</v>
      </c>
      <c r="Q10" s="24">
        <v>32776707</v>
      </c>
      <c r="R10" s="24">
        <v>5725567.8380564302</v>
      </c>
    </row>
    <row r="11" spans="1:18" ht="15" x14ac:dyDescent="0.25">
      <c r="A11" s="20">
        <v>2003</v>
      </c>
      <c r="B11" s="21">
        <f t="shared" si="2"/>
        <v>0.95243662142149399</v>
      </c>
      <c r="C11" s="25">
        <f t="shared" si="3"/>
        <v>9.8858753595469473E-2</v>
      </c>
      <c r="D11" s="25">
        <f t="shared" si="4"/>
        <v>0.89037523011246122</v>
      </c>
      <c r="E11" s="25">
        <f t="shared" si="5"/>
        <v>0.19040516075676317</v>
      </c>
      <c r="F11" s="47">
        <f t="shared" si="5"/>
        <v>0.60111131576022858</v>
      </c>
      <c r="G11" s="25">
        <f t="shared" si="6"/>
        <v>0.27839511058651567</v>
      </c>
      <c r="H11" s="25">
        <f t="shared" si="7"/>
        <v>1.9018814256590133</v>
      </c>
      <c r="I11" s="26">
        <f t="shared" si="8"/>
        <v>0.6839385948827279</v>
      </c>
      <c r="J11" s="26">
        <f t="shared" si="8"/>
        <v>0.31606140511727215</v>
      </c>
      <c r="K11" s="22">
        <f t="shared" si="0"/>
        <v>0.68453447061879713</v>
      </c>
      <c r="L11" s="48">
        <f t="shared" si="1"/>
        <v>0.31546552938120287</v>
      </c>
      <c r="M11" s="23">
        <v>1457776.7</v>
      </c>
      <c r="N11" s="24">
        <v>1678055.6216466201</v>
      </c>
      <c r="O11" s="24">
        <v>837819.9</v>
      </c>
      <c r="P11" s="24">
        <v>39121543</v>
      </c>
      <c r="Q11" s="24">
        <v>32845836</v>
      </c>
      <c r="R11" s="24">
        <v>5835503.4580877498</v>
      </c>
    </row>
    <row r="12" spans="1:18" ht="15" x14ac:dyDescent="0.25">
      <c r="A12" s="20">
        <v>2004</v>
      </c>
      <c r="B12" s="21">
        <f t="shared" si="2"/>
        <v>0.96421020744975805</v>
      </c>
      <c r="C12" s="25">
        <f t="shared" si="3"/>
        <v>1.2285762762962653</v>
      </c>
      <c r="D12" s="25">
        <f t="shared" si="4"/>
        <v>3.027837239350184</v>
      </c>
      <c r="E12" s="25">
        <f t="shared" si="5"/>
        <v>1.173578839189743</v>
      </c>
      <c r="F12" s="47">
        <f t="shared" si="5"/>
        <v>0.62568212386417565</v>
      </c>
      <c r="G12" s="25">
        <f t="shared" si="6"/>
        <v>1.7213449085442534</v>
      </c>
      <c r="H12" s="25">
        <f t="shared" si="7"/>
        <v>1.9661946924713902</v>
      </c>
      <c r="I12" s="26">
        <f t="shared" si="8"/>
        <v>0.68178017860594964</v>
      </c>
      <c r="J12" s="26">
        <f t="shared" si="8"/>
        <v>0.31821982139405042</v>
      </c>
      <c r="K12" s="22">
        <f t="shared" si="0"/>
        <v>0.67902588659310203</v>
      </c>
      <c r="L12" s="48">
        <f t="shared" si="1"/>
        <v>0.32097411340689797</v>
      </c>
      <c r="M12" s="23">
        <v>1521910</v>
      </c>
      <c r="N12" s="24">
        <v>1729641.4409700001</v>
      </c>
      <c r="O12" s="24">
        <v>866987.4</v>
      </c>
      <c r="P12" s="24">
        <v>39800789</v>
      </c>
      <c r="Q12" s="24">
        <v>33390980</v>
      </c>
      <c r="R12" s="24">
        <v>5951376.2265367201</v>
      </c>
    </row>
    <row r="13" spans="1:18" ht="15" x14ac:dyDescent="0.25">
      <c r="A13" s="20">
        <v>2005</v>
      </c>
      <c r="B13" s="21">
        <f t="shared" si="2"/>
        <v>0.96974940040481306</v>
      </c>
      <c r="C13" s="25">
        <f t="shared" si="3"/>
        <v>0.57283596612060828</v>
      </c>
      <c r="D13" s="25">
        <f t="shared" si="4"/>
        <v>1.7260001931257207</v>
      </c>
      <c r="E13" s="25">
        <f t="shared" si="5"/>
        <v>0.52618152345215119</v>
      </c>
      <c r="F13" s="47">
        <f t="shared" si="5"/>
        <v>0.62698270355296126</v>
      </c>
      <c r="G13" s="25">
        <f t="shared" si="6"/>
        <v>0.7750536619184345</v>
      </c>
      <c r="H13" s="25">
        <f t="shared" si="7"/>
        <v>1.9525899658473733</v>
      </c>
      <c r="I13" s="26">
        <f t="shared" si="8"/>
        <v>0.67889689360312411</v>
      </c>
      <c r="J13" s="26">
        <f t="shared" si="8"/>
        <v>0.32110310639687584</v>
      </c>
      <c r="K13" s="22">
        <f t="shared" si="0"/>
        <v>0.67876790061314629</v>
      </c>
      <c r="L13" s="48">
        <f t="shared" si="1"/>
        <v>0.32123209938685371</v>
      </c>
      <c r="M13" s="23">
        <v>1579667.7</v>
      </c>
      <c r="N13" s="24">
        <v>1759754.1809926999</v>
      </c>
      <c r="O13" s="24">
        <v>899273.6</v>
      </c>
      <c r="P13" s="24">
        <v>40110465</v>
      </c>
      <c r="Q13" s="24">
        <v>33640505</v>
      </c>
      <c r="R13" s="24">
        <v>6068724.1349863103</v>
      </c>
    </row>
    <row r="14" spans="1:18" ht="15" x14ac:dyDescent="0.25">
      <c r="A14" s="20">
        <v>2006</v>
      </c>
      <c r="B14" s="21">
        <f t="shared" si="2"/>
        <v>0.98879640673071334</v>
      </c>
      <c r="C14" s="25">
        <f t="shared" si="3"/>
        <v>1.9450764705913484</v>
      </c>
      <c r="D14" s="25">
        <f t="shared" si="4"/>
        <v>2.6944833430354365</v>
      </c>
      <c r="E14" s="25">
        <f t="shared" si="5"/>
        <v>5.4730541222815947E-2</v>
      </c>
      <c r="F14" s="47">
        <f t="shared" si="5"/>
        <v>0.69467633122127215</v>
      </c>
      <c r="G14" s="25">
        <f t="shared" si="6"/>
        <v>8.0672075421972522E-2</v>
      </c>
      <c r="H14" s="25">
        <f t="shared" si="7"/>
        <v>2.1602801498133317</v>
      </c>
      <c r="I14" s="26">
        <f t="shared" si="8"/>
        <v>0.67843229440343711</v>
      </c>
      <c r="J14" s="26">
        <f t="shared" si="8"/>
        <v>0.32156770559656284</v>
      </c>
      <c r="K14" s="22">
        <f t="shared" si="0"/>
        <v>0.67809668819372804</v>
      </c>
      <c r="L14" s="48">
        <f t="shared" si="1"/>
        <v>0.32190331180627196</v>
      </c>
      <c r="M14" s="23">
        <v>1649439.9</v>
      </c>
      <c r="N14" s="24">
        <v>1807815.05262437</v>
      </c>
      <c r="O14" s="24">
        <v>937325.9</v>
      </c>
      <c r="P14" s="24">
        <v>40142836</v>
      </c>
      <c r="Q14" s="24">
        <v>33641128</v>
      </c>
      <c r="R14" s="24">
        <v>6201251.9094472202</v>
      </c>
    </row>
    <row r="15" spans="1:18" ht="15" x14ac:dyDescent="0.25">
      <c r="A15" s="20">
        <v>2007</v>
      </c>
      <c r="B15" s="21">
        <f t="shared" si="2"/>
        <v>0.98787141296941139</v>
      </c>
      <c r="C15" s="25">
        <f t="shared" si="3"/>
        <v>-9.3591226568529251E-2</v>
      </c>
      <c r="D15" s="25">
        <f t="shared" si="4"/>
        <v>2.6155657921719921</v>
      </c>
      <c r="E15" s="25">
        <f t="shared" si="5"/>
        <v>1.9455898868027488</v>
      </c>
      <c r="F15" s="47">
        <f t="shared" si="5"/>
        <v>0.76356713193777259</v>
      </c>
      <c r="G15" s="25">
        <f t="shared" si="6"/>
        <v>2.890741831915733</v>
      </c>
      <c r="H15" s="25">
        <f t="shared" si="7"/>
        <v>2.3353657167838549</v>
      </c>
      <c r="I15" s="26">
        <f t="shared" si="8"/>
        <v>0.67304173113009558</v>
      </c>
      <c r="J15" s="26">
        <f t="shared" si="8"/>
        <v>0.32695826886990437</v>
      </c>
      <c r="K15" s="22">
        <f t="shared" si="0"/>
        <v>0.66798677406646323</v>
      </c>
      <c r="L15" s="48">
        <f t="shared" si="1"/>
        <v>0.33201322593353677</v>
      </c>
      <c r="M15" s="23">
        <v>1736159.9</v>
      </c>
      <c r="N15" s="24">
        <v>1855723.45135043</v>
      </c>
      <c r="O15" s="24">
        <v>974335.2</v>
      </c>
      <c r="P15" s="24">
        <v>41320197</v>
      </c>
      <c r="Q15" s="24">
        <v>34714682</v>
      </c>
      <c r="R15" s="24">
        <v>6347778.12255124</v>
      </c>
    </row>
    <row r="16" spans="1:18" ht="15" x14ac:dyDescent="0.25">
      <c r="A16" s="20">
        <v>2008</v>
      </c>
      <c r="B16" s="21">
        <f t="shared" si="2"/>
        <v>0.98081317961032499</v>
      </c>
      <c r="C16" s="25">
        <f t="shared" si="3"/>
        <v>-0.7170537757242762</v>
      </c>
      <c r="D16" s="25">
        <f t="shared" si="4"/>
        <v>0.63081293087634549</v>
      </c>
      <c r="E16" s="25">
        <f t="shared" si="5"/>
        <v>0.62876180294892592</v>
      </c>
      <c r="F16" s="47">
        <f t="shared" si="5"/>
        <v>0.71910490365169577</v>
      </c>
      <c r="G16" s="25">
        <f t="shared" si="6"/>
        <v>0.94159404498661559</v>
      </c>
      <c r="H16" s="25">
        <f t="shared" si="7"/>
        <v>2.164434492393319</v>
      </c>
      <c r="I16" s="26">
        <f t="shared" si="8"/>
        <v>0.66776314728908837</v>
      </c>
      <c r="J16" s="26">
        <f t="shared" si="8"/>
        <v>0.33223685271091158</v>
      </c>
      <c r="K16" s="22">
        <f t="shared" si="0"/>
        <v>0.66753952051171361</v>
      </c>
      <c r="L16" s="48">
        <f t="shared" si="1"/>
        <v>0.33246047948828639</v>
      </c>
      <c r="M16" s="23">
        <v>1787460.6</v>
      </c>
      <c r="N16" s="24">
        <v>1867466.5945349799</v>
      </c>
      <c r="O16" s="24">
        <v>1003884.8</v>
      </c>
      <c r="P16" s="24">
        <v>41711103</v>
      </c>
      <c r="Q16" s="24">
        <v>35093129</v>
      </c>
      <c r="R16" s="24">
        <v>6486669.3038109904</v>
      </c>
    </row>
    <row r="17" spans="1:20" ht="15" x14ac:dyDescent="0.25">
      <c r="A17" s="20">
        <v>2009</v>
      </c>
      <c r="B17" s="21">
        <f t="shared" si="2"/>
        <v>0.9632550320739135</v>
      </c>
      <c r="C17" s="25">
        <f t="shared" si="3"/>
        <v>-1.8063795153479332</v>
      </c>
      <c r="D17" s="25">
        <f t="shared" si="4"/>
        <v>-2.6545085498874244</v>
      </c>
      <c r="E17" s="25">
        <f t="shared" si="5"/>
        <v>-1.2948216658703471</v>
      </c>
      <c r="F17" s="47">
        <f t="shared" si="5"/>
        <v>0.44669263133085596</v>
      </c>
      <c r="G17" s="25">
        <f t="shared" si="6"/>
        <v>-1.9093158645507202</v>
      </c>
      <c r="H17" s="25">
        <f t="shared" si="7"/>
        <v>1.3879338965436361</v>
      </c>
      <c r="I17" s="26">
        <f t="shared" si="8"/>
        <v>0.67816001003848081</v>
      </c>
      <c r="J17" s="26">
        <f t="shared" si="8"/>
        <v>0.32183998996151914</v>
      </c>
      <c r="K17" s="22">
        <f t="shared" si="0"/>
        <v>0.68878049956524812</v>
      </c>
      <c r="L17" s="48">
        <f t="shared" si="1"/>
        <v>0.31121950043475188</v>
      </c>
      <c r="M17" s="23">
        <v>1743573.3</v>
      </c>
      <c r="N17" s="24">
        <v>1818546.6980826801</v>
      </c>
      <c r="O17" s="24">
        <v>1006633</v>
      </c>
      <c r="P17" s="24">
        <v>40922261</v>
      </c>
      <c r="Q17" s="24">
        <v>34301233</v>
      </c>
      <c r="R17" s="24">
        <v>6577327.6695952099</v>
      </c>
    </row>
    <row r="18" spans="1:20" ht="15" x14ac:dyDescent="0.25">
      <c r="A18" s="20">
        <v>2010</v>
      </c>
      <c r="B18" s="21">
        <f t="shared" si="2"/>
        <v>0.97212799244498238</v>
      </c>
      <c r="C18" s="25">
        <f t="shared" si="3"/>
        <v>0.9169267710936746</v>
      </c>
      <c r="D18" s="25">
        <f t="shared" si="4"/>
        <v>1.7786292197961018</v>
      </c>
      <c r="E18" s="25">
        <f t="shared" si="5"/>
        <v>0.42812733616832865</v>
      </c>
      <c r="F18" s="47">
        <f t="shared" si="5"/>
        <v>0.43357511253409858</v>
      </c>
      <c r="G18" s="25">
        <f t="shared" si="6"/>
        <v>0.62164855666289043</v>
      </c>
      <c r="H18" s="25">
        <f t="shared" si="7"/>
        <v>1.3927740958999735</v>
      </c>
      <c r="I18" s="26">
        <f t="shared" si="8"/>
        <v>0.68869674284548354</v>
      </c>
      <c r="J18" s="26">
        <f t="shared" si="8"/>
        <v>0.31130325715451646</v>
      </c>
      <c r="K18" s="22">
        <f t="shared" si="0"/>
        <v>0.68861298612571897</v>
      </c>
      <c r="L18" s="48">
        <f t="shared" si="1"/>
        <v>0.31138701387428103</v>
      </c>
      <c r="M18" s="23">
        <v>1792597.6</v>
      </c>
      <c r="N18" s="24">
        <v>1851181.2646687599</v>
      </c>
      <c r="O18" s="24">
        <v>1032728.8</v>
      </c>
      <c r="P18" s="24">
        <v>41177446</v>
      </c>
      <c r="Q18" s="24">
        <v>34449877</v>
      </c>
      <c r="R18" s="24">
        <v>6669575.8990990799</v>
      </c>
    </row>
    <row r="19" spans="1:20" ht="15" x14ac:dyDescent="0.25">
      <c r="A19" s="20">
        <v>2011</v>
      </c>
      <c r="B19" s="21">
        <f t="shared" si="2"/>
        <v>0.98444427434936466</v>
      </c>
      <c r="C19" s="25">
        <f t="shared" si="3"/>
        <v>1.2589818218474724</v>
      </c>
      <c r="D19" s="25">
        <f t="shared" si="4"/>
        <v>2.5028834724638571</v>
      </c>
      <c r="E19" s="25">
        <f t="shared" si="5"/>
        <v>0.78579660843116317</v>
      </c>
      <c r="F19" s="47">
        <f t="shared" si="5"/>
        <v>0.45810504218522152</v>
      </c>
      <c r="G19" s="25">
        <f t="shared" si="6"/>
        <v>1.1390713144884046</v>
      </c>
      <c r="H19" s="25">
        <f t="shared" si="7"/>
        <v>1.4770780461455857</v>
      </c>
      <c r="I19" s="26">
        <f t="shared" si="8"/>
        <v>0.68985725339250681</v>
      </c>
      <c r="J19" s="26">
        <f t="shared" si="8"/>
        <v>0.31014274660749319</v>
      </c>
      <c r="K19" s="22">
        <f t="shared" si="0"/>
        <v>0.69110152065929464</v>
      </c>
      <c r="L19" s="48">
        <f t="shared" si="1"/>
        <v>0.30889847934070536</v>
      </c>
      <c r="M19" s="23">
        <v>1845782.1</v>
      </c>
      <c r="N19" s="24">
        <v>1898098.8718656499</v>
      </c>
      <c r="O19" s="24">
        <v>1064378</v>
      </c>
      <c r="P19" s="24">
        <v>41649168</v>
      </c>
      <c r="Q19" s="24">
        <v>34752011</v>
      </c>
      <c r="R19" s="24">
        <v>6768821.9065517597</v>
      </c>
    </row>
    <row r="20" spans="1:20" ht="15" x14ac:dyDescent="0.25">
      <c r="A20" s="20">
        <v>2012</v>
      </c>
      <c r="B20" s="21">
        <f t="shared" si="2"/>
        <v>0.98449318984904988</v>
      </c>
      <c r="C20" s="25">
        <f t="shared" si="3"/>
        <v>4.9687204987194922E-3</v>
      </c>
      <c r="D20" s="25">
        <f t="shared" si="4"/>
        <v>0.39617962860667433</v>
      </c>
      <c r="E20" s="25">
        <f t="shared" si="5"/>
        <v>-1.5476300515626585E-2</v>
      </c>
      <c r="F20" s="47">
        <f t="shared" si="5"/>
        <v>0.40668720862358143</v>
      </c>
      <c r="G20" s="25">
        <f t="shared" si="6"/>
        <v>-2.2226203094533048E-2</v>
      </c>
      <c r="H20" s="25">
        <f t="shared" si="7"/>
        <v>1.3391471045913761</v>
      </c>
      <c r="I20" s="26">
        <f t="shared" si="8"/>
        <v>0.6963087869665544</v>
      </c>
      <c r="J20" s="26">
        <f t="shared" si="8"/>
        <v>0.3036912130334456</v>
      </c>
      <c r="K20" s="22">
        <f t="shared" si="0"/>
        <v>0.70151605327381417</v>
      </c>
      <c r="L20" s="48">
        <f t="shared" si="1"/>
        <v>0.29848394672618583</v>
      </c>
      <c r="M20" s="23">
        <v>1866716.6</v>
      </c>
      <c r="N20" s="24">
        <v>1905633.66873652</v>
      </c>
      <c r="O20" s="24">
        <v>1088779.6000000001</v>
      </c>
      <c r="P20" s="24">
        <v>41639912</v>
      </c>
      <c r="Q20" s="24">
        <v>34620535</v>
      </c>
      <c r="R20" s="24">
        <v>6860076.03893987</v>
      </c>
    </row>
    <row r="21" spans="1:20" ht="15" x14ac:dyDescent="0.25">
      <c r="A21" s="20">
        <v>2013</v>
      </c>
      <c r="B21" s="21">
        <f t="shared" si="2"/>
        <v>0.99444408917509652</v>
      </c>
      <c r="C21" s="25">
        <f t="shared" si="3"/>
        <v>1.0056895993457886</v>
      </c>
      <c r="D21" s="25">
        <f t="shared" si="4"/>
        <v>0.82107093749161919</v>
      </c>
      <c r="E21" s="25">
        <f t="shared" si="5"/>
        <v>-0.56486405370980053</v>
      </c>
      <c r="F21" s="47">
        <f t="shared" si="5"/>
        <v>0.38024539185563122</v>
      </c>
      <c r="G21" s="25">
        <f t="shared" si="6"/>
        <v>-0.80289689361805472</v>
      </c>
      <c r="H21" s="25">
        <f t="shared" si="7"/>
        <v>1.2825870751747459</v>
      </c>
      <c r="I21" s="26">
        <f t="shared" si="8"/>
        <v>0.70353249364856985</v>
      </c>
      <c r="J21" s="26">
        <f t="shared" si="8"/>
        <v>0.29646750635143015</v>
      </c>
      <c r="K21" s="22">
        <f t="shared" si="0"/>
        <v>0.70554893402332552</v>
      </c>
      <c r="L21" s="48">
        <f t="shared" si="1"/>
        <v>0.29445106597667448</v>
      </c>
      <c r="M21" s="23">
        <v>1894345</v>
      </c>
      <c r="N21" s="24">
        <v>1921344.6839916401</v>
      </c>
      <c r="O21" s="24">
        <v>1107914.8999999999</v>
      </c>
      <c r="P21" s="24">
        <v>41306925</v>
      </c>
      <c r="Q21" s="24">
        <v>34240733</v>
      </c>
      <c r="R21" s="24">
        <v>6948629.1590649597</v>
      </c>
    </row>
    <row r="22" spans="1:20" ht="15" x14ac:dyDescent="0.25">
      <c r="A22" s="20">
        <v>2014</v>
      </c>
      <c r="B22" s="21">
        <f t="shared" si="2"/>
        <v>1.0029677076877266</v>
      </c>
      <c r="C22" s="25">
        <f t="shared" si="3"/>
        <v>0.85347150400189498</v>
      </c>
      <c r="D22" s="25">
        <f t="shared" si="4"/>
        <v>1.1925099045900112</v>
      </c>
      <c r="E22" s="25">
        <f t="shared" si="5"/>
        <v>-2.4220478644709532E-2</v>
      </c>
      <c r="F22" s="47">
        <f t="shared" si="5"/>
        <v>0.36325887923282579</v>
      </c>
      <c r="G22" s="25">
        <f t="shared" si="6"/>
        <v>-3.4290686760840572E-2</v>
      </c>
      <c r="H22" s="25">
        <f t="shared" si="7"/>
        <v>1.2369552145514717</v>
      </c>
      <c r="I22" s="26">
        <f t="shared" si="8"/>
        <v>0.70632818798977626</v>
      </c>
      <c r="J22" s="26">
        <f t="shared" si="8"/>
        <v>0.29367181201022374</v>
      </c>
      <c r="K22" s="22">
        <f t="shared" si="0"/>
        <v>0.70710744195622699</v>
      </c>
      <c r="L22" s="48">
        <f t="shared" si="1"/>
        <v>0.29289255804377301</v>
      </c>
      <c r="M22" s="23">
        <v>1921806.4</v>
      </c>
      <c r="N22" s="24">
        <v>1944394.0696028201</v>
      </c>
      <c r="O22" s="24">
        <v>1126854.6000000001</v>
      </c>
      <c r="P22" s="24">
        <v>41292763</v>
      </c>
      <c r="Q22" s="24">
        <v>34241027</v>
      </c>
      <c r="R22" s="24">
        <v>7035114.3787797196</v>
      </c>
    </row>
    <row r="23" spans="1:20" ht="15" x14ac:dyDescent="0.25">
      <c r="A23" s="20">
        <v>2015</v>
      </c>
      <c r="B23" s="21">
        <f t="shared" si="2"/>
        <v>1.0058625525946401</v>
      </c>
      <c r="C23" s="25">
        <f t="shared" si="3"/>
        <v>0.28821219672116394</v>
      </c>
      <c r="D23" s="25">
        <f t="shared" si="4"/>
        <v>0.81610529008528943</v>
      </c>
      <c r="E23" s="25">
        <f t="shared" si="5"/>
        <v>0.18415404267841182</v>
      </c>
      <c r="F23" s="47">
        <f t="shared" si="5"/>
        <v>0.34373905068571364</v>
      </c>
      <c r="G23" s="25">
        <f t="shared" si="6"/>
        <v>0.26116937127014239</v>
      </c>
      <c r="H23" s="25">
        <f t="shared" si="7"/>
        <v>1.165665503090807</v>
      </c>
      <c r="I23" s="26">
        <f t="shared" si="8"/>
        <v>0.70511347399895052</v>
      </c>
      <c r="J23" s="26">
        <f t="shared" si="8"/>
        <v>0.29488652600104948</v>
      </c>
      <c r="K23" s="22">
        <f t="shared" si="0"/>
        <v>0.70311950604167406</v>
      </c>
      <c r="L23" s="48">
        <f t="shared" si="1"/>
        <v>0.29688049395832594</v>
      </c>
      <c r="M23" s="23">
        <v>1960327.3</v>
      </c>
      <c r="N23" s="24">
        <v>1960327.3</v>
      </c>
      <c r="O23" s="24">
        <v>1143090.7</v>
      </c>
      <c r="P23" s="24">
        <v>41400748</v>
      </c>
      <c r="Q23" s="24">
        <v>34334533</v>
      </c>
      <c r="R23" s="24">
        <v>7117600.0999999996</v>
      </c>
    </row>
    <row r="24" spans="1:20" ht="15" x14ac:dyDescent="0.25">
      <c r="A24" s="20">
        <v>2016</v>
      </c>
      <c r="B24" s="21">
        <f t="shared" si="2"/>
        <v>1.0023501810713111</v>
      </c>
      <c r="C24" s="25">
        <f t="shared" si="3"/>
        <v>-0.34980109884955807</v>
      </c>
      <c r="D24" s="25">
        <f t="shared" si="4"/>
        <v>0.67741947959305548</v>
      </c>
      <c r="E24" s="25">
        <f t="shared" si="5"/>
        <v>0.65101701378124188</v>
      </c>
      <c r="F24" s="47">
        <f t="shared" si="5"/>
        <v>0.37620356466137167</v>
      </c>
      <c r="G24" s="25">
        <f t="shared" si="6"/>
        <v>0.92371110256870281</v>
      </c>
      <c r="H24" s="25">
        <f t="shared" si="7"/>
        <v>1.2743342220904452</v>
      </c>
      <c r="I24" s="26">
        <f t="shared" si="8"/>
        <v>0.70478422525274476</v>
      </c>
      <c r="J24" s="26">
        <f t="shared" si="8"/>
        <v>0.2952157747472553</v>
      </c>
      <c r="K24" s="22">
        <f t="shared" si="0"/>
        <v>0.70644894446381534</v>
      </c>
      <c r="L24" s="48">
        <f t="shared" si="1"/>
        <v>0.29355105553618466</v>
      </c>
      <c r="M24" s="23">
        <v>1983737.7</v>
      </c>
      <c r="N24" s="24">
        <v>1973652.0201633801</v>
      </c>
      <c r="O24" s="24">
        <v>1164986.1000000001</v>
      </c>
      <c r="P24" s="24">
        <v>41784943</v>
      </c>
      <c r="Q24" s="24">
        <v>34735658</v>
      </c>
      <c r="R24" s="24">
        <v>7208882.5</v>
      </c>
    </row>
    <row r="25" spans="1:20" ht="15" x14ac:dyDescent="0.25">
      <c r="A25" s="20">
        <v>2017</v>
      </c>
      <c r="B25" s="21">
        <f t="shared" si="2"/>
        <v>1.0167324005643017</v>
      </c>
      <c r="C25" s="25">
        <f t="shared" si="3"/>
        <v>1.4246532438715351</v>
      </c>
      <c r="D25" s="25">
        <f t="shared" si="4"/>
        <v>1.9362368474002523</v>
      </c>
      <c r="E25" s="25">
        <f t="shared" si="5"/>
        <v>0.10566299941026221</v>
      </c>
      <c r="F25" s="47">
        <f t="shared" si="5"/>
        <v>0.40592060411845488</v>
      </c>
      <c r="G25" s="25">
        <f t="shared" si="6"/>
        <v>0.14909804345393241</v>
      </c>
      <c r="H25" s="25">
        <f t="shared" si="7"/>
        <v>1.3933902728600955</v>
      </c>
      <c r="I25" s="26">
        <f t="shared" si="8"/>
        <v>0.70868132781976745</v>
      </c>
      <c r="J25" s="26">
        <f t="shared" si="8"/>
        <v>0.2913186721802325</v>
      </c>
      <c r="K25" s="22">
        <f t="shared" si="0"/>
        <v>0.71091371117571966</v>
      </c>
      <c r="L25" s="48">
        <f t="shared" si="1"/>
        <v>0.28908628882428034</v>
      </c>
      <c r="M25" s="23">
        <v>2029705.8</v>
      </c>
      <c r="N25" s="24">
        <v>2012238.9595697899</v>
      </c>
      <c r="O25" s="24">
        <v>1202199</v>
      </c>
      <c r="P25" s="24">
        <v>41847290</v>
      </c>
      <c r="Q25" s="24">
        <v>34865325</v>
      </c>
      <c r="R25" s="24">
        <v>7310033.44468557</v>
      </c>
    </row>
    <row r="26" spans="1:20" ht="15" x14ac:dyDescent="0.25">
      <c r="A26" s="20">
        <v>2018</v>
      </c>
      <c r="B26" s="21">
        <f t="shared" si="2"/>
        <v>1.0179697995603709</v>
      </c>
      <c r="C26" s="25">
        <f t="shared" si="3"/>
        <v>0.12162950907915238</v>
      </c>
      <c r="D26" s="25">
        <f t="shared" si="4"/>
        <v>1.6097963616617861</v>
      </c>
      <c r="E26" s="25">
        <f t="shared" si="5"/>
        <v>1.0698037383503387</v>
      </c>
      <c r="F26" s="47">
        <f t="shared" si="5"/>
        <v>0.418363114232295</v>
      </c>
      <c r="G26" s="25">
        <f t="shared" si="6"/>
        <v>1.5057395191107048</v>
      </c>
      <c r="H26" s="25">
        <f t="shared" si="7"/>
        <v>1.4450428302513529</v>
      </c>
      <c r="I26" s="26">
        <f t="shared" si="8"/>
        <v>0.71048393481906391</v>
      </c>
      <c r="J26" s="26">
        <f t="shared" si="8"/>
        <v>0.28951606518093603</v>
      </c>
      <c r="K26" s="22">
        <f t="shared" si="0"/>
        <v>0.71005415846240827</v>
      </c>
      <c r="L26" s="48">
        <f t="shared" si="1"/>
        <v>0.28994584153759173</v>
      </c>
      <c r="M26" s="23">
        <v>2081977.9</v>
      </c>
      <c r="N26" s="24">
        <v>2044894.0441147699</v>
      </c>
      <c r="O26" s="24">
        <v>1231985.3999999999</v>
      </c>
      <c r="P26" s="24">
        <v>42482169</v>
      </c>
      <c r="Q26" s="24">
        <v>35403374</v>
      </c>
      <c r="R26" s="24">
        <v>7416433.4703521896</v>
      </c>
    </row>
    <row r="27" spans="1:20" ht="15" x14ac:dyDescent="0.25">
      <c r="A27" s="20">
        <f>A26+1</f>
        <v>2019</v>
      </c>
      <c r="B27" s="21">
        <f t="shared" si="2"/>
        <v>1.0238270462582735</v>
      </c>
      <c r="C27" s="25">
        <f t="shared" si="3"/>
        <v>0.57373609690467342</v>
      </c>
      <c r="D27" s="25">
        <f t="shared" si="4"/>
        <v>2.0840643031261763</v>
      </c>
      <c r="E27" s="25">
        <f t="shared" si="5"/>
        <v>1.044810526835771</v>
      </c>
      <c r="F27" s="47">
        <f t="shared" si="5"/>
        <v>0.4655176793857318</v>
      </c>
      <c r="G27" s="25">
        <f t="shared" si="6"/>
        <v>1.48698844378643</v>
      </c>
      <c r="H27" s="25">
        <f t="shared" si="7"/>
        <v>1.5654771147291413</v>
      </c>
      <c r="I27" s="26">
        <f t="shared" si="8"/>
        <v>0.70263527010021121</v>
      </c>
      <c r="J27" s="26">
        <f t="shared" si="8"/>
        <v>0.29736472989978879</v>
      </c>
      <c r="K27" s="22">
        <f t="shared" si="0"/>
        <v>0.69521638173801414</v>
      </c>
      <c r="L27" s="48">
        <f t="shared" si="1"/>
        <v>0.30478361826198586</v>
      </c>
      <c r="M27" s="23">
        <v>2150689.7999999998</v>
      </c>
      <c r="N27" s="24">
        <v>2087958.13392029</v>
      </c>
      <c r="O27" s="24">
        <v>1243041.1000000001</v>
      </c>
      <c r="P27" s="24">
        <v>43118594</v>
      </c>
      <c r="Q27" s="24">
        <v>35846958</v>
      </c>
      <c r="R27" s="24">
        <v>7533449.5794943897</v>
      </c>
    </row>
    <row r="28" spans="1:20" ht="15" x14ac:dyDescent="0.25">
      <c r="A28" s="20">
        <f t="shared" ref="A28:A30" si="9">A27+1</f>
        <v>2020</v>
      </c>
      <c r="B28" s="21">
        <v>1</v>
      </c>
      <c r="C28" s="25">
        <f t="shared" si="3"/>
        <v>-2.3547612213676508</v>
      </c>
      <c r="D28" s="25">
        <f t="shared" si="4"/>
        <v>-7.5768554635928353</v>
      </c>
      <c r="E28" s="25">
        <f t="shared" si="5"/>
        <v>-5.5240642676946141</v>
      </c>
      <c r="F28" s="47">
        <f t="shared" si="5"/>
        <v>0.30197002546942936</v>
      </c>
      <c r="G28" s="25">
        <f t="shared" si="6"/>
        <v>-7.9059116875882296</v>
      </c>
      <c r="H28" s="25">
        <f t="shared" si="7"/>
        <v>1.0023095239940716</v>
      </c>
      <c r="I28" s="26">
        <f t="shared" si="8"/>
        <v>0.69872577458296659</v>
      </c>
      <c r="J28" s="26">
        <f t="shared" si="8"/>
        <v>0.30127422541703341</v>
      </c>
      <c r="K28" s="22">
        <f t="shared" si="0"/>
        <v>0.70223516742791903</v>
      </c>
      <c r="L28" s="48">
        <f t="shared" si="1"/>
        <v>0.29776483257208097</v>
      </c>
      <c r="M28" s="23">
        <v>2056545.2</v>
      </c>
      <c r="N28" s="24">
        <v>1935601.3712607401</v>
      </c>
      <c r="O28" s="24">
        <v>1195011.5</v>
      </c>
      <c r="P28" s="24">
        <v>39840947</v>
      </c>
      <c r="Q28" s="24">
        <v>32967112</v>
      </c>
      <c r="R28" s="24">
        <v>7609337.7439400898</v>
      </c>
    </row>
    <row r="29" spans="1:20" ht="15" x14ac:dyDescent="0.25">
      <c r="A29" s="20">
        <f t="shared" si="9"/>
        <v>2021</v>
      </c>
      <c r="B29" s="21">
        <f>B28*EXP(C29/100)</f>
        <v>1.0025767231738789</v>
      </c>
      <c r="C29" s="25">
        <f t="shared" si="3"/>
        <v>0.25734091144432986</v>
      </c>
      <c r="D29" s="25">
        <f t="shared" si="4"/>
        <v>6.3377354272770248</v>
      </c>
      <c r="E29" s="25">
        <f t="shared" si="5"/>
        <v>5.6276809997690025</v>
      </c>
      <c r="F29" s="47">
        <f t="shared" si="5"/>
        <v>0.45271351606369242</v>
      </c>
      <c r="G29" s="25">
        <f t="shared" si="6"/>
        <v>8.0246622796913414</v>
      </c>
      <c r="H29" s="25">
        <f t="shared" si="7"/>
        <v>1.5156034409999464</v>
      </c>
      <c r="I29" s="26">
        <f t="shared" si="8"/>
        <v>0.7012981735083641</v>
      </c>
      <c r="J29" s="26">
        <f t="shared" si="8"/>
        <v>0.29870182649163596</v>
      </c>
      <c r="K29" s="22">
        <f t="shared" si="0"/>
        <v>0.70036117958880906</v>
      </c>
      <c r="L29" s="48">
        <f t="shared" si="1"/>
        <v>0.29963882041119094</v>
      </c>
      <c r="M29" s="23">
        <v>2212764.4</v>
      </c>
      <c r="N29" s="24">
        <v>2062245.46077219</v>
      </c>
      <c r="O29" s="24">
        <v>1285635.5</v>
      </c>
      <c r="P29" s="24">
        <v>43169828</v>
      </c>
      <c r="Q29" s="24">
        <v>35813019</v>
      </c>
      <c r="R29" s="24">
        <v>7725543.5135301603</v>
      </c>
    </row>
    <row r="30" spans="1:20" ht="15" x14ac:dyDescent="0.25">
      <c r="A30" s="20">
        <f t="shared" si="9"/>
        <v>2022</v>
      </c>
      <c r="B30" s="27">
        <f t="shared" ref="B30" si="10">B29*EXP(C30/100)</f>
        <v>0.99689171025727741</v>
      </c>
      <c r="C30" s="28">
        <f t="shared" si="3"/>
        <v>-0.56865396233333043</v>
      </c>
      <c r="D30" s="25">
        <f t="shared" si="4"/>
        <v>2.9307589343087415</v>
      </c>
      <c r="E30" s="28">
        <f t="shared" si="5"/>
        <v>2.9677749588966407</v>
      </c>
      <c r="F30" s="51">
        <f t="shared" si="5"/>
        <v>0.53163793774543122</v>
      </c>
      <c r="G30" s="25">
        <f t="shared" si="6"/>
        <v>4.2318035363390294</v>
      </c>
      <c r="H30" s="25">
        <f t="shared" si="7"/>
        <v>1.7798547795139896</v>
      </c>
      <c r="I30" s="26">
        <f t="shared" si="8"/>
        <v>0.70130263217845146</v>
      </c>
      <c r="J30" s="26">
        <f t="shared" si="8"/>
        <v>0.29869736782154849</v>
      </c>
      <c r="K30" s="22">
        <f t="shared" si="0"/>
        <v>0.70224408476809397</v>
      </c>
      <c r="L30" s="48">
        <f t="shared" si="1"/>
        <v>0.29775591523190603</v>
      </c>
      <c r="M30" s="23">
        <v>2368609.4</v>
      </c>
      <c r="N30" s="23">
        <v>2123579.2870745999</v>
      </c>
      <c r="O30" s="23">
        <v>1378355.4</v>
      </c>
      <c r="P30" s="24">
        <v>45035896</v>
      </c>
      <c r="Q30" s="24">
        <v>37319729</v>
      </c>
      <c r="R30" s="24">
        <v>7864277.9422449498</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302C-C74C-4CD9-BF50-2D6B1F15604B}">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66</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0.75006683939894225</v>
      </c>
      <c r="L9" s="48">
        <f t="shared" ref="L9:L30" si="1">1-K9</f>
        <v>0.24993316060105775</v>
      </c>
      <c r="M9" s="23">
        <v>21391.437610926001</v>
      </c>
      <c r="N9" s="24">
        <v>30831.924208344699</v>
      </c>
      <c r="O9" s="24">
        <v>12395.918427054999</v>
      </c>
      <c r="P9" s="24">
        <v>2956397.62</v>
      </c>
      <c r="Q9" s="24">
        <v>2284029.0099999998</v>
      </c>
      <c r="R9" s="24">
        <v>102241.45802318001</v>
      </c>
    </row>
    <row r="10" spans="1:18" ht="15" x14ac:dyDescent="0.25">
      <c r="A10" s="20">
        <v>2002</v>
      </c>
      <c r="B10" s="21">
        <f t="shared" ref="B10:B27" si="2">B11*EXP(-C11/100)</f>
        <v>1.054121871464538</v>
      </c>
      <c r="C10" s="25">
        <f t="shared" ref="C10:C30" si="3">D10-E10-F10</f>
        <v>3.7147364970778791</v>
      </c>
      <c r="D10" s="25">
        <f t="shared" ref="D10:D30" si="4">(LN(N10)-LN(N9))*100</f>
        <v>5.1697092268559786</v>
      </c>
      <c r="E10" s="25">
        <f t="shared" ref="E10:F30" si="5">I10*G10</f>
        <v>0.55528390926280258</v>
      </c>
      <c r="F10" s="47">
        <f t="shared" si="5"/>
        <v>0.89968882051529631</v>
      </c>
      <c r="G10" s="25">
        <f t="shared" ref="G10:G30" si="6">(LN(P10)-LN(P9))*100</f>
        <v>0.73373159432712498</v>
      </c>
      <c r="H10" s="25">
        <f t="shared" ref="H10:H30" si="7">(LN(R10)-LN(R9))*100</f>
        <v>3.6992921059022521</v>
      </c>
      <c r="I10" s="26">
        <f t="shared" ref="I10:J30" si="8">(K10+K9)/2</f>
        <v>0.75679432854739015</v>
      </c>
      <c r="J10" s="26">
        <f t="shared" si="8"/>
        <v>0.24320567145260985</v>
      </c>
      <c r="K10" s="22">
        <f t="shared" si="0"/>
        <v>0.76352181769583805</v>
      </c>
      <c r="L10" s="48">
        <f t="shared" si="1"/>
        <v>0.23647818230416195</v>
      </c>
      <c r="M10" s="23">
        <v>23456.491317911001</v>
      </c>
      <c r="N10" s="24">
        <v>32467.764829432101</v>
      </c>
      <c r="O10" s="24">
        <v>13769.543203927</v>
      </c>
      <c r="P10" s="24">
        <v>2978169.4190000002</v>
      </c>
      <c r="Q10" s="24">
        <v>2289730.8289999999</v>
      </c>
      <c r="R10" s="24">
        <v>106094.496391635</v>
      </c>
    </row>
    <row r="11" spans="1:18" ht="15" x14ac:dyDescent="0.25">
      <c r="A11" s="20">
        <v>2003</v>
      </c>
      <c r="B11" s="21">
        <f t="shared" si="2"/>
        <v>1.0809870189515645</v>
      </c>
      <c r="C11" s="25">
        <f t="shared" si="3"/>
        <v>2.5166459204258729</v>
      </c>
      <c r="D11" s="25">
        <f t="shared" si="4"/>
        <v>5.7470208985028748</v>
      </c>
      <c r="E11" s="25">
        <f t="shared" si="5"/>
        <v>1.8266383928685095</v>
      </c>
      <c r="F11" s="47">
        <f t="shared" si="5"/>
        <v>1.4037365852084924</v>
      </c>
      <c r="G11" s="25">
        <f t="shared" si="6"/>
        <v>2.3983911112296141</v>
      </c>
      <c r="H11" s="25">
        <f t="shared" si="7"/>
        <v>5.8884011222934518</v>
      </c>
      <c r="I11" s="26">
        <f t="shared" si="8"/>
        <v>0.76160989102900034</v>
      </c>
      <c r="J11" s="26">
        <f t="shared" si="8"/>
        <v>0.2383901089709996</v>
      </c>
      <c r="K11" s="22">
        <f t="shared" si="0"/>
        <v>0.75969796436216275</v>
      </c>
      <c r="L11" s="48">
        <f t="shared" si="1"/>
        <v>0.24030203563783725</v>
      </c>
      <c r="M11" s="23">
        <v>26033.018286691</v>
      </c>
      <c r="N11" s="24">
        <v>34388.353799193297</v>
      </c>
      <c r="O11" s="24">
        <v>15224.993275654</v>
      </c>
      <c r="P11" s="24">
        <v>3050461.0219999999</v>
      </c>
      <c r="Q11" s="24">
        <v>2348319.0619999999</v>
      </c>
      <c r="R11" s="24">
        <v>112529.362050974</v>
      </c>
    </row>
    <row r="12" spans="1:18" ht="15" x14ac:dyDescent="0.25">
      <c r="A12" s="20">
        <v>2004</v>
      </c>
      <c r="B12" s="21">
        <f t="shared" si="2"/>
        <v>1.1015755260367399</v>
      </c>
      <c r="C12" s="25">
        <f t="shared" si="3"/>
        <v>1.8866921228725377</v>
      </c>
      <c r="D12" s="25">
        <f t="shared" si="4"/>
        <v>4.1470495084729109</v>
      </c>
      <c r="E12" s="25">
        <f t="shared" si="5"/>
        <v>0.63505113635700672</v>
      </c>
      <c r="F12" s="47">
        <f t="shared" si="5"/>
        <v>1.6253062492433663</v>
      </c>
      <c r="G12" s="25">
        <f t="shared" si="6"/>
        <v>0.84721710833246533</v>
      </c>
      <c r="H12" s="25">
        <f t="shared" si="7"/>
        <v>6.4901418819315992</v>
      </c>
      <c r="I12" s="26">
        <f t="shared" si="8"/>
        <v>0.74957307886162239</v>
      </c>
      <c r="J12" s="26">
        <f t="shared" si="8"/>
        <v>0.25042692113837761</v>
      </c>
      <c r="K12" s="22">
        <f t="shared" si="0"/>
        <v>0.73944819336108203</v>
      </c>
      <c r="L12" s="48">
        <f t="shared" si="1"/>
        <v>0.26055180663891797</v>
      </c>
      <c r="M12" s="23">
        <v>28317.325114726002</v>
      </c>
      <c r="N12" s="24">
        <v>35844.439477780397</v>
      </c>
      <c r="O12" s="24">
        <v>16197.704721489999</v>
      </c>
      <c r="P12" s="24">
        <v>3076414.8369999998</v>
      </c>
      <c r="Q12" s="24">
        <v>2379788.6869999999</v>
      </c>
      <c r="R12" s="24">
        <v>120074.88651333201</v>
      </c>
    </row>
    <row r="13" spans="1:18" ht="15" x14ac:dyDescent="0.25">
      <c r="A13" s="20">
        <v>2005</v>
      </c>
      <c r="B13" s="21">
        <f t="shared" si="2"/>
        <v>1.1218627808479871</v>
      </c>
      <c r="C13" s="25">
        <f t="shared" si="3"/>
        <v>1.824904946868368</v>
      </c>
      <c r="D13" s="25">
        <f t="shared" si="4"/>
        <v>4.1399968367946016</v>
      </c>
      <c r="E13" s="25">
        <f t="shared" si="5"/>
        <v>0.66929994124242376</v>
      </c>
      <c r="F13" s="47">
        <f t="shared" si="5"/>
        <v>1.64579194868381</v>
      </c>
      <c r="G13" s="25">
        <f t="shared" si="6"/>
        <v>0.91004360594819644</v>
      </c>
      <c r="H13" s="25">
        <f t="shared" si="7"/>
        <v>6.2213161100260095</v>
      </c>
      <c r="I13" s="26">
        <f t="shared" si="8"/>
        <v>0.73545919873264087</v>
      </c>
      <c r="J13" s="26">
        <f t="shared" si="8"/>
        <v>0.26454080126735907</v>
      </c>
      <c r="K13" s="22">
        <f t="shared" si="0"/>
        <v>0.73147020410419983</v>
      </c>
      <c r="L13" s="48">
        <f t="shared" si="1"/>
        <v>0.26852979589580017</v>
      </c>
      <c r="M13" s="23">
        <v>30492.027058815998</v>
      </c>
      <c r="N13" s="24">
        <v>37359.544390127397</v>
      </c>
      <c r="O13" s="24">
        <v>17205.214252536</v>
      </c>
      <c r="P13" s="24">
        <v>3104539.3319999999</v>
      </c>
      <c r="Q13" s="24">
        <v>2394827.932</v>
      </c>
      <c r="R13" s="24">
        <v>127782.39313033099</v>
      </c>
    </row>
    <row r="14" spans="1:18" ht="15" x14ac:dyDescent="0.25">
      <c r="A14" s="20">
        <v>2006</v>
      </c>
      <c r="B14" s="21">
        <f t="shared" si="2"/>
        <v>1.1314062826534339</v>
      </c>
      <c r="C14" s="25">
        <f t="shared" si="3"/>
        <v>0.84708559900361569</v>
      </c>
      <c r="D14" s="25">
        <f t="shared" si="4"/>
        <v>4.6061308531431422</v>
      </c>
      <c r="E14" s="25">
        <f t="shared" si="5"/>
        <v>2.2698156082619079</v>
      </c>
      <c r="F14" s="47">
        <f t="shared" si="5"/>
        <v>1.4892296458776186</v>
      </c>
      <c r="G14" s="25">
        <f t="shared" si="6"/>
        <v>3.1394278442904877</v>
      </c>
      <c r="H14" s="25">
        <f t="shared" si="7"/>
        <v>5.3763376630517001</v>
      </c>
      <c r="I14" s="26">
        <f t="shared" si="8"/>
        <v>0.72300295494604283</v>
      </c>
      <c r="J14" s="26">
        <f t="shared" si="8"/>
        <v>0.27699704505395717</v>
      </c>
      <c r="K14" s="22">
        <f t="shared" si="0"/>
        <v>0.71453570578788583</v>
      </c>
      <c r="L14" s="48">
        <f t="shared" si="1"/>
        <v>0.28546429421211417</v>
      </c>
      <c r="M14" s="23">
        <v>33178.398376006997</v>
      </c>
      <c r="N14" s="24">
        <v>39120.621290231698</v>
      </c>
      <c r="O14" s="24">
        <v>18464.103678459</v>
      </c>
      <c r="P14" s="24">
        <v>3203550.159</v>
      </c>
      <c r="Q14" s="24">
        <v>2495056.6189999999</v>
      </c>
      <c r="R14" s="24">
        <v>134840.43820156399</v>
      </c>
    </row>
    <row r="15" spans="1:18" ht="15" x14ac:dyDescent="0.25">
      <c r="A15" s="20">
        <v>2007</v>
      </c>
      <c r="B15" s="21">
        <f t="shared" si="2"/>
        <v>1.1412666628669794</v>
      </c>
      <c r="C15" s="25">
        <f t="shared" si="3"/>
        <v>0.8677396459086828</v>
      </c>
      <c r="D15" s="25">
        <f t="shared" si="4"/>
        <v>4.8091478065227733</v>
      </c>
      <c r="E15" s="25">
        <f t="shared" si="5"/>
        <v>2.2196130820880939</v>
      </c>
      <c r="F15" s="47">
        <f t="shared" si="5"/>
        <v>1.7217950785259966</v>
      </c>
      <c r="G15" s="25">
        <f t="shared" si="6"/>
        <v>3.1264293514629671</v>
      </c>
      <c r="H15" s="25">
        <f t="shared" si="7"/>
        <v>5.9362308027612443</v>
      </c>
      <c r="I15" s="26">
        <f t="shared" si="8"/>
        <v>0.70995145981771768</v>
      </c>
      <c r="J15" s="26">
        <f t="shared" si="8"/>
        <v>0.29004854018228227</v>
      </c>
      <c r="K15" s="22">
        <f t="shared" si="0"/>
        <v>0.70536721384754963</v>
      </c>
      <c r="L15" s="48">
        <f t="shared" si="1"/>
        <v>0.29463278615245037</v>
      </c>
      <c r="M15" s="23">
        <v>36517.570756669003</v>
      </c>
      <c r="N15" s="24">
        <v>41047.962692237103</v>
      </c>
      <c r="O15" s="24">
        <v>20292.160847765001</v>
      </c>
      <c r="P15" s="24">
        <v>3305289.0010000002</v>
      </c>
      <c r="Q15" s="24">
        <v>2603877.7209999999</v>
      </c>
      <c r="R15" s="24">
        <v>143087.23055686301</v>
      </c>
    </row>
    <row r="16" spans="1:18" ht="15" x14ac:dyDescent="0.25">
      <c r="A16" s="20">
        <v>2008</v>
      </c>
      <c r="B16" s="21">
        <f t="shared" si="2"/>
        <v>1.1243987288952622</v>
      </c>
      <c r="C16" s="25">
        <f t="shared" si="3"/>
        <v>-1.4890323785268154</v>
      </c>
      <c r="D16" s="25">
        <f t="shared" si="4"/>
        <v>1.968237098758685</v>
      </c>
      <c r="E16" s="25">
        <f t="shared" si="5"/>
        <v>1.4761271012108863</v>
      </c>
      <c r="F16" s="47">
        <f t="shared" si="5"/>
        <v>1.9811423760746141</v>
      </c>
      <c r="G16" s="25">
        <f t="shared" si="6"/>
        <v>2.1025564132040486</v>
      </c>
      <c r="H16" s="25">
        <f t="shared" si="7"/>
        <v>6.6495349571564333</v>
      </c>
      <c r="I16" s="26">
        <f t="shared" si="8"/>
        <v>0.70206301811490623</v>
      </c>
      <c r="J16" s="26">
        <f t="shared" si="8"/>
        <v>0.29793698188509377</v>
      </c>
      <c r="K16" s="22">
        <f t="shared" si="0"/>
        <v>0.69875882238226283</v>
      </c>
      <c r="L16" s="48">
        <f t="shared" si="1"/>
        <v>0.30124117761773717</v>
      </c>
      <c r="M16" s="23">
        <v>39309.432994789997</v>
      </c>
      <c r="N16" s="24">
        <v>41863.887246817103</v>
      </c>
      <c r="O16" s="24">
        <v>21847.658287414</v>
      </c>
      <c r="P16" s="24">
        <v>3375520.3059999999</v>
      </c>
      <c r="Q16" s="24">
        <v>2684859.3259999999</v>
      </c>
      <c r="R16" s="24">
        <v>152925.33530681799</v>
      </c>
    </row>
    <row r="17" spans="1:20" ht="15" x14ac:dyDescent="0.25">
      <c r="A17" s="20">
        <v>2009</v>
      </c>
      <c r="B17" s="21">
        <f t="shared" si="2"/>
        <v>1.046794201227266</v>
      </c>
      <c r="C17" s="25">
        <f t="shared" si="3"/>
        <v>-7.1516077440347932</v>
      </c>
      <c r="D17" s="25">
        <f t="shared" si="4"/>
        <v>-5.8326891848752282</v>
      </c>
      <c r="E17" s="25">
        <f t="shared" si="5"/>
        <v>-0.57338169257675253</v>
      </c>
      <c r="F17" s="47">
        <f t="shared" si="5"/>
        <v>1.8923002517363172</v>
      </c>
      <c r="G17" s="25">
        <f t="shared" si="6"/>
        <v>-0.81227468278459725</v>
      </c>
      <c r="H17" s="25">
        <f t="shared" si="7"/>
        <v>6.4341259464123723</v>
      </c>
      <c r="I17" s="26">
        <f t="shared" si="8"/>
        <v>0.70589629928033171</v>
      </c>
      <c r="J17" s="26">
        <f t="shared" si="8"/>
        <v>0.29410370071966835</v>
      </c>
      <c r="K17" s="22">
        <f t="shared" si="0"/>
        <v>0.71303377617840047</v>
      </c>
      <c r="L17" s="48">
        <f t="shared" si="1"/>
        <v>0.28696622382159953</v>
      </c>
      <c r="M17" s="23">
        <v>38168.894986107</v>
      </c>
      <c r="N17" s="24">
        <v>39491.9432953539</v>
      </c>
      <c r="O17" s="24">
        <v>21688.331164342999</v>
      </c>
      <c r="P17" s="24">
        <v>3348212.8650000002</v>
      </c>
      <c r="Q17" s="24">
        <v>2668206.9249999998</v>
      </c>
      <c r="R17" s="24">
        <v>163088.18343935499</v>
      </c>
    </row>
    <row r="18" spans="1:20" ht="15" x14ac:dyDescent="0.25">
      <c r="A18" s="20">
        <v>2010</v>
      </c>
      <c r="B18" s="21">
        <f t="shared" si="2"/>
        <v>1.0367357568393964</v>
      </c>
      <c r="C18" s="25">
        <f t="shared" si="3"/>
        <v>-0.96552703643285787</v>
      </c>
      <c r="D18" s="25">
        <f t="shared" si="4"/>
        <v>-1.8478212820948414</v>
      </c>
      <c r="E18" s="25">
        <f t="shared" si="5"/>
        <v>-2.2569544135567465</v>
      </c>
      <c r="F18" s="47">
        <f t="shared" si="5"/>
        <v>1.374660167894763</v>
      </c>
      <c r="G18" s="25">
        <f t="shared" si="6"/>
        <v>-3.1780826273127616</v>
      </c>
      <c r="H18" s="25">
        <f t="shared" si="7"/>
        <v>4.7428615612922442</v>
      </c>
      <c r="I18" s="26">
        <f t="shared" si="8"/>
        <v>0.71016228280544169</v>
      </c>
      <c r="J18" s="26">
        <f t="shared" si="8"/>
        <v>0.28983771719455836</v>
      </c>
      <c r="K18" s="22">
        <f t="shared" si="0"/>
        <v>0.7072907894324828</v>
      </c>
      <c r="L18" s="48">
        <f t="shared" si="1"/>
        <v>0.2927092105675172</v>
      </c>
      <c r="M18" s="23">
        <v>37750.761135581997</v>
      </c>
      <c r="N18" s="24">
        <v>38768.903576367302</v>
      </c>
      <c r="O18" s="24">
        <v>21055.982000413002</v>
      </c>
      <c r="P18" s="24">
        <v>3243477.0049999999</v>
      </c>
      <c r="Q18" s="24">
        <v>2557776.5950000002</v>
      </c>
      <c r="R18" s="24">
        <v>171009.59616052499</v>
      </c>
    </row>
    <row r="19" spans="1:20" ht="15" x14ac:dyDescent="0.25">
      <c r="A19" s="20">
        <v>2011</v>
      </c>
      <c r="B19" s="21">
        <f t="shared" si="2"/>
        <v>1.0615774039970356</v>
      </c>
      <c r="C19" s="25">
        <f t="shared" si="3"/>
        <v>2.367883718236353</v>
      </c>
      <c r="D19" s="25">
        <f t="shared" si="4"/>
        <v>0.24219042404691749</v>
      </c>
      <c r="E19" s="25">
        <f t="shared" si="5"/>
        <v>-2.9110080480586702</v>
      </c>
      <c r="F19" s="47">
        <f t="shared" si="5"/>
        <v>0.78531475386923444</v>
      </c>
      <c r="G19" s="25">
        <f t="shared" si="6"/>
        <v>-4.1669212891225271</v>
      </c>
      <c r="H19" s="25">
        <f t="shared" si="7"/>
        <v>2.6055500169643864</v>
      </c>
      <c r="I19" s="26">
        <f t="shared" si="8"/>
        <v>0.69859924056105027</v>
      </c>
      <c r="J19" s="26">
        <f t="shared" si="8"/>
        <v>0.30140075943894973</v>
      </c>
      <c r="K19" s="22">
        <f t="shared" si="0"/>
        <v>0.68990769168961774</v>
      </c>
      <c r="L19" s="48">
        <f t="shared" si="1"/>
        <v>0.31009230831038226</v>
      </c>
      <c r="M19" s="23">
        <v>38558.593972128998</v>
      </c>
      <c r="N19" s="24">
        <v>38862.911942015497</v>
      </c>
      <c r="O19" s="24">
        <v>20980.335047709999</v>
      </c>
      <c r="P19" s="24">
        <v>3111101.0260000001</v>
      </c>
      <c r="Q19" s="24">
        <v>2453659.8560000001</v>
      </c>
      <c r="R19" s="24">
        <v>175523.89245693601</v>
      </c>
    </row>
    <row r="20" spans="1:20" ht="15" x14ac:dyDescent="0.25">
      <c r="A20" s="20">
        <v>2012</v>
      </c>
      <c r="B20" s="21">
        <f t="shared" si="2"/>
        <v>1.0511720069053763</v>
      </c>
      <c r="C20" s="25">
        <f t="shared" si="3"/>
        <v>-0.98501802160821506</v>
      </c>
      <c r="D20" s="25">
        <f t="shared" si="4"/>
        <v>-3.3859380753803237</v>
      </c>
      <c r="E20" s="25">
        <f t="shared" si="5"/>
        <v>-3.1057513059441391</v>
      </c>
      <c r="F20" s="47">
        <f t="shared" si="5"/>
        <v>0.70483125217203046</v>
      </c>
      <c r="G20" s="25">
        <f t="shared" si="6"/>
        <v>-4.5183072608923069</v>
      </c>
      <c r="H20" s="25">
        <f t="shared" si="7"/>
        <v>2.2545260265527389</v>
      </c>
      <c r="I20" s="26">
        <f t="shared" si="8"/>
        <v>0.68737054091597871</v>
      </c>
      <c r="J20" s="26">
        <f t="shared" si="8"/>
        <v>0.31262945908402123</v>
      </c>
      <c r="K20" s="22">
        <f t="shared" si="0"/>
        <v>0.68483339014233979</v>
      </c>
      <c r="L20" s="48">
        <f t="shared" si="1"/>
        <v>0.31516660985766021</v>
      </c>
      <c r="M20" s="23">
        <v>37692.354829843003</v>
      </c>
      <c r="N20" s="24">
        <v>37569.0658326829</v>
      </c>
      <c r="O20" s="24">
        <v>20763.182692233</v>
      </c>
      <c r="P20" s="24">
        <v>2973660.301</v>
      </c>
      <c r="Q20" s="24">
        <v>2391922.3810000001</v>
      </c>
      <c r="R20" s="24">
        <v>179526.06984018401</v>
      </c>
    </row>
    <row r="21" spans="1:20" ht="15" x14ac:dyDescent="0.25">
      <c r="A21" s="20">
        <v>2013</v>
      </c>
      <c r="B21" s="21">
        <f t="shared" si="2"/>
        <v>1.0642318308496814</v>
      </c>
      <c r="C21" s="25">
        <f t="shared" si="3"/>
        <v>1.234751458522608</v>
      </c>
      <c r="D21" s="25">
        <f t="shared" si="4"/>
        <v>-0.47605613099310773</v>
      </c>
      <c r="E21" s="25">
        <f t="shared" si="5"/>
        <v>-2.4494062841868982</v>
      </c>
      <c r="F21" s="47">
        <f t="shared" si="5"/>
        <v>0.73859869467118244</v>
      </c>
      <c r="G21" s="25">
        <f t="shared" si="6"/>
        <v>-3.6277743985385413</v>
      </c>
      <c r="H21" s="25">
        <f t="shared" si="7"/>
        <v>2.2738814829493137</v>
      </c>
      <c r="I21" s="26">
        <f t="shared" si="8"/>
        <v>0.67518153421382765</v>
      </c>
      <c r="J21" s="26">
        <f t="shared" si="8"/>
        <v>0.32481846578617235</v>
      </c>
      <c r="K21" s="22">
        <f t="shared" si="0"/>
        <v>0.66552967828531551</v>
      </c>
      <c r="L21" s="48">
        <f t="shared" si="1"/>
        <v>0.33447032171468449</v>
      </c>
      <c r="M21" s="23">
        <v>37551.521826035998</v>
      </c>
      <c r="N21" s="24">
        <v>37390.6410295061</v>
      </c>
      <c r="O21" s="24">
        <v>20469.412506314002</v>
      </c>
      <c r="P21" s="24">
        <v>2867715.9440000001</v>
      </c>
      <c r="Q21" s="24">
        <v>2348802.7140000002</v>
      </c>
      <c r="R21" s="24">
        <v>183655.046004565</v>
      </c>
    </row>
    <row r="22" spans="1:20" ht="15" x14ac:dyDescent="0.25">
      <c r="A22" s="20">
        <v>2014</v>
      </c>
      <c r="B22" s="21">
        <f t="shared" si="2"/>
        <v>1.0287998497006143</v>
      </c>
      <c r="C22" s="25">
        <f t="shared" si="3"/>
        <v>-3.3860324913364925</v>
      </c>
      <c r="D22" s="25">
        <f t="shared" si="4"/>
        <v>-0.64902090733962581</v>
      </c>
      <c r="E22" s="25">
        <f t="shared" si="5"/>
        <v>1.1014101098721496</v>
      </c>
      <c r="F22" s="47">
        <f t="shared" si="5"/>
        <v>1.6356014741247173</v>
      </c>
      <c r="G22" s="25">
        <f t="shared" si="6"/>
        <v>1.6677169121217972</v>
      </c>
      <c r="H22" s="25">
        <f t="shared" si="7"/>
        <v>4.8166828105424386</v>
      </c>
      <c r="I22" s="26">
        <f t="shared" si="8"/>
        <v>0.66042989782411654</v>
      </c>
      <c r="J22" s="26">
        <f t="shared" si="8"/>
        <v>0.33957010217588346</v>
      </c>
      <c r="K22" s="22">
        <f t="shared" si="0"/>
        <v>0.65533011736291757</v>
      </c>
      <c r="L22" s="48">
        <f t="shared" si="1"/>
        <v>0.34466988263708243</v>
      </c>
      <c r="M22" s="23">
        <v>37297.438482539001</v>
      </c>
      <c r="N22" s="24">
        <v>37148.753750423501</v>
      </c>
      <c r="O22" s="24">
        <v>20574.347527022001</v>
      </c>
      <c r="P22" s="24">
        <v>2915942.35</v>
      </c>
      <c r="Q22" s="24">
        <v>2454516.02</v>
      </c>
      <c r="R22" s="24">
        <v>192717.63300617901</v>
      </c>
    </row>
    <row r="23" spans="1:20" ht="15" x14ac:dyDescent="0.25">
      <c r="A23" s="20">
        <v>2015</v>
      </c>
      <c r="B23" s="21">
        <f t="shared" si="2"/>
        <v>1.0512269802632013</v>
      </c>
      <c r="C23" s="25">
        <f t="shared" si="3"/>
        <v>2.1565106165582875</v>
      </c>
      <c r="D23" s="25">
        <f t="shared" si="4"/>
        <v>2.2344792322387619</v>
      </c>
      <c r="E23" s="25">
        <f t="shared" si="5"/>
        <v>-1.4369013105225981</v>
      </c>
      <c r="F23" s="47">
        <f t="shared" si="5"/>
        <v>1.5148699262030725</v>
      </c>
      <c r="G23" s="25">
        <f t="shared" si="6"/>
        <v>-2.1916452991366242</v>
      </c>
      <c r="H23" s="25">
        <f t="shared" si="7"/>
        <v>4.3989188422198566</v>
      </c>
      <c r="I23" s="26">
        <f t="shared" si="8"/>
        <v>0.65562676181617996</v>
      </c>
      <c r="J23" s="26">
        <f t="shared" si="8"/>
        <v>0.34437323818382004</v>
      </c>
      <c r="K23" s="22">
        <f t="shared" si="0"/>
        <v>0.65592340626944234</v>
      </c>
      <c r="L23" s="48">
        <f t="shared" si="1"/>
        <v>0.34407659373055766</v>
      </c>
      <c r="M23" s="23">
        <v>37988.178396654999</v>
      </c>
      <c r="N23" s="24">
        <v>37988.178396654999</v>
      </c>
      <c r="O23" s="24">
        <v>20968.534874678</v>
      </c>
      <c r="P23" s="24">
        <v>2852730.4569999999</v>
      </c>
      <c r="Q23" s="24">
        <v>2400641.0469999998</v>
      </c>
      <c r="R23" s="24">
        <v>201384.348673</v>
      </c>
    </row>
    <row r="24" spans="1:20" ht="15" x14ac:dyDescent="0.25">
      <c r="A24" s="20">
        <v>2016</v>
      </c>
      <c r="B24" s="21">
        <f t="shared" si="2"/>
        <v>1.0804681873867665</v>
      </c>
      <c r="C24" s="25">
        <f t="shared" si="3"/>
        <v>2.7436419463932</v>
      </c>
      <c r="D24" s="25">
        <f t="shared" si="4"/>
        <v>3.4404237510807789</v>
      </c>
      <c r="E24" s="25">
        <f t="shared" si="5"/>
        <v>0.4321392456313593</v>
      </c>
      <c r="F24" s="47">
        <f t="shared" si="5"/>
        <v>0.26464255905621986</v>
      </c>
      <c r="G24" s="25">
        <f t="shared" si="6"/>
        <v>0.66607428050975415</v>
      </c>
      <c r="H24" s="25">
        <f t="shared" si="7"/>
        <v>0.75350664002620249</v>
      </c>
      <c r="I24" s="26">
        <f t="shared" si="8"/>
        <v>0.64878536565116773</v>
      </c>
      <c r="J24" s="26">
        <f t="shared" si="8"/>
        <v>0.35121463434883221</v>
      </c>
      <c r="K24" s="22">
        <f t="shared" si="0"/>
        <v>0.64164732503289323</v>
      </c>
      <c r="L24" s="48">
        <f t="shared" si="1"/>
        <v>0.35835267496710677</v>
      </c>
      <c r="M24" s="23">
        <v>39281.748606300003</v>
      </c>
      <c r="N24" s="24">
        <v>39317.875154809502</v>
      </c>
      <c r="O24" s="24">
        <v>21540.445025874</v>
      </c>
      <c r="P24" s="24">
        <v>2871795.1830000002</v>
      </c>
      <c r="Q24" s="24">
        <v>2454262.0630000001</v>
      </c>
      <c r="R24" s="24">
        <v>202907.52452100001</v>
      </c>
    </row>
    <row r="25" spans="1:20" ht="15" x14ac:dyDescent="0.25">
      <c r="A25" s="20">
        <v>2017</v>
      </c>
      <c r="B25" s="21">
        <f t="shared" si="2"/>
        <v>1.0977733646126742</v>
      </c>
      <c r="C25" s="25">
        <f t="shared" si="3"/>
        <v>1.5889460287023009</v>
      </c>
      <c r="D25" s="25">
        <f t="shared" si="4"/>
        <v>2.7613507986234964</v>
      </c>
      <c r="E25" s="25">
        <f t="shared" si="5"/>
        <v>1.1671890293921983</v>
      </c>
      <c r="F25" s="47">
        <f t="shared" si="5"/>
        <v>5.2157405289972565E-3</v>
      </c>
      <c r="G25" s="25">
        <f t="shared" si="6"/>
        <v>1.8295667997543674</v>
      </c>
      <c r="H25" s="25">
        <f t="shared" si="7"/>
        <v>1.4406500542385459E-2</v>
      </c>
      <c r="I25" s="26">
        <f t="shared" si="8"/>
        <v>0.63795923141418054</v>
      </c>
      <c r="J25" s="26">
        <f t="shared" si="8"/>
        <v>0.36204076858581946</v>
      </c>
      <c r="K25" s="22">
        <f t="shared" si="0"/>
        <v>0.63427113779546784</v>
      </c>
      <c r="L25" s="48">
        <f t="shared" si="1"/>
        <v>0.36572886220453216</v>
      </c>
      <c r="M25" s="23">
        <v>40950.308629480998</v>
      </c>
      <c r="N25" s="24">
        <v>40418.708602561899</v>
      </c>
      <c r="O25" s="24">
        <v>22550.429926745001</v>
      </c>
      <c r="P25" s="24">
        <v>2924820.179</v>
      </c>
      <c r="Q25" s="24">
        <v>2539345.929</v>
      </c>
      <c r="R25" s="24">
        <v>202936.758500367</v>
      </c>
    </row>
    <row r="26" spans="1:20" ht="15" x14ac:dyDescent="0.25">
      <c r="A26" s="20">
        <v>2018</v>
      </c>
      <c r="B26" s="21">
        <f t="shared" si="2"/>
        <v>1.1071573482201498</v>
      </c>
      <c r="C26" s="25">
        <f t="shared" si="3"/>
        <v>0.85118686134527033</v>
      </c>
      <c r="D26" s="25">
        <f t="shared" si="4"/>
        <v>2.4561348397266869</v>
      </c>
      <c r="E26" s="25">
        <f t="shared" si="5"/>
        <v>1.1957711615169988</v>
      </c>
      <c r="F26" s="47">
        <f t="shared" si="5"/>
        <v>0.40917681686441776</v>
      </c>
      <c r="G26" s="25">
        <f t="shared" si="6"/>
        <v>1.8631031460158098</v>
      </c>
      <c r="H26" s="25">
        <f t="shared" si="7"/>
        <v>1.1423678655974712</v>
      </c>
      <c r="I26" s="26">
        <f t="shared" si="8"/>
        <v>0.64181694077116425</v>
      </c>
      <c r="J26" s="26">
        <f t="shared" si="8"/>
        <v>0.35818305922883581</v>
      </c>
      <c r="K26" s="22">
        <f t="shared" si="0"/>
        <v>0.64936274374686054</v>
      </c>
      <c r="L26" s="48">
        <f t="shared" si="1"/>
        <v>0.35063725625313946</v>
      </c>
      <c r="M26" s="23">
        <v>42688.891497488999</v>
      </c>
      <c r="N26" s="24">
        <v>41423.738507128299</v>
      </c>
      <c r="O26" s="24">
        <v>24132.298052810002</v>
      </c>
      <c r="P26" s="24">
        <v>2979823.3879999998</v>
      </c>
      <c r="Q26" s="24">
        <v>2594101.4679999999</v>
      </c>
      <c r="R26" s="24">
        <v>205268.335051678</v>
      </c>
    </row>
    <row r="27" spans="1:20" ht="15" x14ac:dyDescent="0.25">
      <c r="A27" s="20">
        <f>A26+1</f>
        <v>2019</v>
      </c>
      <c r="B27" s="21">
        <f t="shared" si="2"/>
        <v>1.0721060224824812</v>
      </c>
      <c r="C27" s="25">
        <f t="shared" si="3"/>
        <v>-3.2170823611608568</v>
      </c>
      <c r="D27" s="25">
        <f t="shared" si="4"/>
        <v>3.1786244779661743</v>
      </c>
      <c r="E27" s="25">
        <f t="shared" si="5"/>
        <v>5.5046474661619573</v>
      </c>
      <c r="F27" s="47">
        <f t="shared" si="5"/>
        <v>0.89105937296507387</v>
      </c>
      <c r="G27" s="25">
        <f t="shared" si="6"/>
        <v>8.603080449752909</v>
      </c>
      <c r="H27" s="25">
        <f t="shared" si="7"/>
        <v>2.4741072379885765</v>
      </c>
      <c r="I27" s="26">
        <f t="shared" si="8"/>
        <v>0.63984609911674806</v>
      </c>
      <c r="J27" s="26">
        <f t="shared" si="8"/>
        <v>0.36015390088325189</v>
      </c>
      <c r="K27" s="22">
        <f t="shared" si="0"/>
        <v>0.63032945448663569</v>
      </c>
      <c r="L27" s="48">
        <f t="shared" si="1"/>
        <v>0.36967054551336431</v>
      </c>
      <c r="M27" s="23">
        <v>44803.892775688</v>
      </c>
      <c r="N27" s="24">
        <v>42761.593652932497</v>
      </c>
      <c r="O27" s="24">
        <v>24949.296045764</v>
      </c>
      <c r="P27" s="24">
        <v>3247530.4224760998</v>
      </c>
      <c r="Q27" s="24">
        <v>2868984.3134475001</v>
      </c>
      <c r="R27" s="24">
        <v>210410.23961683901</v>
      </c>
    </row>
    <row r="28" spans="1:20" ht="15" x14ac:dyDescent="0.25">
      <c r="A28" s="20">
        <f t="shared" ref="A28:A30" si="9">A27+1</f>
        <v>2020</v>
      </c>
      <c r="B28" s="21">
        <v>1</v>
      </c>
      <c r="C28" s="25">
        <f t="shared" si="3"/>
        <v>-6.9624959327651137</v>
      </c>
      <c r="D28" s="25">
        <f t="shared" si="4"/>
        <v>-7.5529782030242743</v>
      </c>
      <c r="E28" s="25">
        <f t="shared" si="5"/>
        <v>-1.3127396533446134</v>
      </c>
      <c r="F28" s="47">
        <f t="shared" si="5"/>
        <v>0.72225738308545329</v>
      </c>
      <c r="G28" s="25">
        <f t="shared" si="6"/>
        <v>-2.0172041154362219</v>
      </c>
      <c r="H28" s="25">
        <f t="shared" si="7"/>
        <v>2.0681533902198623</v>
      </c>
      <c r="I28" s="26">
        <f t="shared" si="8"/>
        <v>0.65077184966020774</v>
      </c>
      <c r="J28" s="26">
        <f t="shared" si="8"/>
        <v>0.34922815033979232</v>
      </c>
      <c r="K28" s="22">
        <f t="shared" si="0"/>
        <v>0.67121424483377967</v>
      </c>
      <c r="L28" s="48">
        <f t="shared" si="1"/>
        <v>0.32878575516622033</v>
      </c>
      <c r="M28" s="23">
        <v>42001.262802026002</v>
      </c>
      <c r="N28" s="24">
        <v>39650.7781414372</v>
      </c>
      <c r="O28" s="24">
        <v>24865.410583894001</v>
      </c>
      <c r="P28" s="24">
        <v>3182677.4130349001</v>
      </c>
      <c r="Q28" s="24">
        <v>2807144.3398747998</v>
      </c>
      <c r="R28" s="24">
        <v>214807.15689591799</v>
      </c>
    </row>
    <row r="29" spans="1:20" ht="15" x14ac:dyDescent="0.25">
      <c r="A29" s="20">
        <f t="shared" si="9"/>
        <v>2021</v>
      </c>
      <c r="B29" s="21">
        <f>B28*EXP(C29/100)</f>
        <v>1.1086215212820711</v>
      </c>
      <c r="C29" s="25">
        <f t="shared" si="3"/>
        <v>10.311737084244259</v>
      </c>
      <c r="D29" s="25">
        <f t="shared" si="4"/>
        <v>11.059362880404144</v>
      </c>
      <c r="E29" s="25">
        <f t="shared" si="5"/>
        <v>0.61421086659266311</v>
      </c>
      <c r="F29" s="47">
        <f t="shared" si="5"/>
        <v>0.13341492956722362</v>
      </c>
      <c r="G29" s="25">
        <f t="shared" si="6"/>
        <v>0.94375425783059796</v>
      </c>
      <c r="H29" s="25">
        <f t="shared" si="7"/>
        <v>0.38207687116482703</v>
      </c>
      <c r="I29" s="26">
        <f t="shared" si="8"/>
        <v>0.65081652506082022</v>
      </c>
      <c r="J29" s="26">
        <f t="shared" si="8"/>
        <v>0.34918347493917984</v>
      </c>
      <c r="K29" s="22">
        <f t="shared" si="0"/>
        <v>0.63041880528786065</v>
      </c>
      <c r="L29" s="48">
        <f t="shared" si="1"/>
        <v>0.36958119471213935</v>
      </c>
      <c r="M29" s="23">
        <v>47841.497296501999</v>
      </c>
      <c r="N29" s="24">
        <v>44287.576695283897</v>
      </c>
      <c r="O29" s="24">
        <v>26585.835461432998</v>
      </c>
      <c r="P29" s="24">
        <v>3212856.2496662</v>
      </c>
      <c r="Q29" s="24">
        <v>2832094.1332558002</v>
      </c>
      <c r="R29" s="24">
        <v>215629.45526562101</v>
      </c>
    </row>
    <row r="30" spans="1:20" ht="15" x14ac:dyDescent="0.25">
      <c r="A30" s="20">
        <f t="shared" si="9"/>
        <v>2022</v>
      </c>
      <c r="B30" s="27">
        <f t="shared" ref="B30" si="10">B29*EXP(C30/100)</f>
        <v>1.1888449670461465</v>
      </c>
      <c r="C30" s="28">
        <f t="shared" si="3"/>
        <v>6.9864849000721527</v>
      </c>
      <c r="D30" s="25">
        <f t="shared" si="4"/>
        <v>8.0405646839485811</v>
      </c>
      <c r="E30" s="28">
        <f t="shared" si="5"/>
        <v>1.1142991227479064</v>
      </c>
      <c r="F30" s="51">
        <f t="shared" si="5"/>
        <v>-6.02193388714789E-2</v>
      </c>
      <c r="G30" s="25">
        <f t="shared" si="6"/>
        <v>1.7873296967293228</v>
      </c>
      <c r="H30" s="25">
        <f t="shared" si="7"/>
        <v>-0.15992113411087416</v>
      </c>
      <c r="I30" s="26">
        <f t="shared" si="8"/>
        <v>0.62344352291968796</v>
      </c>
      <c r="J30" s="26">
        <f t="shared" si="8"/>
        <v>0.37655647708031209</v>
      </c>
      <c r="K30" s="22">
        <f t="shared" si="0"/>
        <v>0.61646824055151517</v>
      </c>
      <c r="L30" s="48">
        <f t="shared" si="1"/>
        <v>0.38353175944848483</v>
      </c>
      <c r="M30" s="23">
        <v>56306.451823000003</v>
      </c>
      <c r="N30" s="23">
        <v>47995.624417727398</v>
      </c>
      <c r="O30" s="23">
        <v>30410.300793980001</v>
      </c>
      <c r="P30" s="24">
        <v>3270796.8357389998</v>
      </c>
      <c r="Q30" s="24">
        <v>2865533.0148729999</v>
      </c>
      <c r="R30" s="24">
        <v>215284.893782033</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6AA1-03CF-4241-8668-F6B0E6224FD5}">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67</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0.60469674934166606</v>
      </c>
      <c r="L9" s="48">
        <f t="shared" ref="L9:L30" si="1">1-K9</f>
        <v>0.39530325065833394</v>
      </c>
      <c r="M9" s="23">
        <v>1178148.1000000001</v>
      </c>
      <c r="N9" s="24">
        <v>1496528.5052511501</v>
      </c>
      <c r="O9" s="24">
        <v>481274.2</v>
      </c>
      <c r="P9" s="24">
        <v>42259453.200000003</v>
      </c>
      <c r="Q9" s="24">
        <v>28548213.300000001</v>
      </c>
      <c r="R9" s="24">
        <v>5108643.5452812798</v>
      </c>
    </row>
    <row r="10" spans="1:18" ht="15" x14ac:dyDescent="0.25">
      <c r="A10" s="20">
        <v>2002</v>
      </c>
      <c r="B10" s="21">
        <f t="shared" ref="B10:B27" si="2">B11*EXP(-C11/100)</f>
        <v>1.0073979073570758</v>
      </c>
      <c r="C10" s="25">
        <f t="shared" ref="C10:C30" si="3">D10-E10-F10</f>
        <v>-0.97563603986844227</v>
      </c>
      <c r="D10" s="25">
        <f t="shared" ref="D10:D30" si="4">(LN(N10)-LN(N9))*100</f>
        <v>0.37656344478858017</v>
      </c>
      <c r="E10" s="25">
        <f t="shared" ref="E10:F30" si="5">I10*G10</f>
        <v>0.51300161897142993</v>
      </c>
      <c r="F10" s="47">
        <f t="shared" si="5"/>
        <v>0.83919786568559251</v>
      </c>
      <c r="G10" s="25">
        <f t="shared" ref="G10:G30" si="6">(LN(P10)-LN(P9))*100</f>
        <v>0.8454365431372679</v>
      </c>
      <c r="H10" s="25">
        <f t="shared" ref="H10:H30" si="7">(LN(R10)-LN(R9))*100</f>
        <v>2.1342178303127568</v>
      </c>
      <c r="I10" s="26">
        <f t="shared" ref="I10:J30" si="8">(K10+K9)/2</f>
        <v>0.60678902885812125</v>
      </c>
      <c r="J10" s="26">
        <f t="shared" si="8"/>
        <v>0.39321097114187875</v>
      </c>
      <c r="K10" s="22">
        <f t="shared" si="0"/>
        <v>0.60888130837457644</v>
      </c>
      <c r="L10" s="48">
        <f t="shared" si="1"/>
        <v>0.39111869162542356</v>
      </c>
      <c r="M10" s="23">
        <v>1220342.3</v>
      </c>
      <c r="N10" s="24">
        <v>1502174.50826279</v>
      </c>
      <c r="O10" s="24">
        <v>503528.9</v>
      </c>
      <c r="P10" s="24">
        <v>42618244.600000001</v>
      </c>
      <c r="Q10" s="24">
        <v>28880562.800000001</v>
      </c>
      <c r="R10" s="24">
        <v>5218844.9124014098</v>
      </c>
    </row>
    <row r="11" spans="1:18" ht="15" x14ac:dyDescent="0.25">
      <c r="A11" s="20">
        <v>2003</v>
      </c>
      <c r="B11" s="21">
        <f t="shared" si="2"/>
        <v>0.99631238664852562</v>
      </c>
      <c r="C11" s="25">
        <f t="shared" si="3"/>
        <v>-1.1065106415420676</v>
      </c>
      <c r="D11" s="25">
        <f t="shared" si="4"/>
        <v>4.0612598733602567E-2</v>
      </c>
      <c r="E11" s="25">
        <f t="shared" si="5"/>
        <v>0.42066557006883709</v>
      </c>
      <c r="F11" s="47">
        <f t="shared" si="5"/>
        <v>0.72645767020683305</v>
      </c>
      <c r="G11" s="25">
        <f t="shared" si="6"/>
        <v>0.68603762679693148</v>
      </c>
      <c r="H11" s="25">
        <f t="shared" si="7"/>
        <v>1.8780323074775396</v>
      </c>
      <c r="I11" s="26">
        <f t="shared" si="8"/>
        <v>0.61318148398492278</v>
      </c>
      <c r="J11" s="26">
        <f t="shared" si="8"/>
        <v>0.38681851601507722</v>
      </c>
      <c r="K11" s="22">
        <f t="shared" si="0"/>
        <v>0.61748165959526913</v>
      </c>
      <c r="L11" s="48">
        <f t="shared" si="1"/>
        <v>0.38251834040473087</v>
      </c>
      <c r="M11" s="23">
        <v>1264275</v>
      </c>
      <c r="N11" s="24">
        <v>1502784.70426795</v>
      </c>
      <c r="O11" s="24">
        <v>524389</v>
      </c>
      <c r="P11" s="24">
        <v>42911627</v>
      </c>
      <c r="Q11" s="24">
        <v>28824576.899999999</v>
      </c>
      <c r="R11" s="24">
        <v>5317782.6392385904</v>
      </c>
    </row>
    <row r="12" spans="1:18" ht="15" x14ac:dyDescent="0.25">
      <c r="A12" s="20">
        <v>2004</v>
      </c>
      <c r="B12" s="21">
        <f t="shared" si="2"/>
        <v>1.0026077112444525</v>
      </c>
      <c r="C12" s="25">
        <f t="shared" si="3"/>
        <v>0.62987464241813285</v>
      </c>
      <c r="D12" s="25">
        <f t="shared" si="4"/>
        <v>1.6429463699958902</v>
      </c>
      <c r="E12" s="25">
        <f t="shared" si="5"/>
        <v>0.31626844149928485</v>
      </c>
      <c r="F12" s="47">
        <f t="shared" si="5"/>
        <v>0.69680328607847242</v>
      </c>
      <c r="G12" s="25">
        <f t="shared" si="6"/>
        <v>0.51240980569389194</v>
      </c>
      <c r="H12" s="25">
        <f t="shared" si="7"/>
        <v>1.8203648062327105</v>
      </c>
      <c r="I12" s="26">
        <f t="shared" si="8"/>
        <v>0.61721777761649665</v>
      </c>
      <c r="J12" s="26">
        <f t="shared" si="8"/>
        <v>0.3827822223835034</v>
      </c>
      <c r="K12" s="22">
        <f t="shared" si="0"/>
        <v>0.61695389563772407</v>
      </c>
      <c r="L12" s="48">
        <f t="shared" si="1"/>
        <v>0.38304610436227593</v>
      </c>
      <c r="M12" s="23">
        <v>1312780.2</v>
      </c>
      <c r="N12" s="24">
        <v>1527678.5876331299</v>
      </c>
      <c r="O12" s="24">
        <v>543377.9</v>
      </c>
      <c r="P12" s="24">
        <v>43132074.700000003</v>
      </c>
      <c r="Q12" s="24">
        <v>28937272.300000001</v>
      </c>
      <c r="R12" s="24">
        <v>5415472.1378795505</v>
      </c>
    </row>
    <row r="13" spans="1:18" ht="15" x14ac:dyDescent="0.25">
      <c r="A13" s="20">
        <v>2005</v>
      </c>
      <c r="B13" s="21">
        <f t="shared" si="2"/>
        <v>1.0018159862544989</v>
      </c>
      <c r="C13" s="25">
        <f t="shared" si="3"/>
        <v>-7.8997771989584908E-2</v>
      </c>
      <c r="D13" s="25">
        <f t="shared" si="4"/>
        <v>0.78164381792191762</v>
      </c>
      <c r="E13" s="25">
        <f t="shared" si="5"/>
        <v>0.1866538755233654</v>
      </c>
      <c r="F13" s="47">
        <f t="shared" si="5"/>
        <v>0.67398771438813709</v>
      </c>
      <c r="G13" s="25">
        <f t="shared" si="6"/>
        <v>0.30121443345052512</v>
      </c>
      <c r="H13" s="25">
        <f t="shared" si="7"/>
        <v>1.7721180065404241</v>
      </c>
      <c r="I13" s="26">
        <f t="shared" si="8"/>
        <v>0.61967108742159116</v>
      </c>
      <c r="J13" s="26">
        <f t="shared" si="8"/>
        <v>0.38032891257840884</v>
      </c>
      <c r="K13" s="22">
        <f t="shared" si="0"/>
        <v>0.62238827920545825</v>
      </c>
      <c r="L13" s="48">
        <f t="shared" si="1"/>
        <v>0.37761172079454175</v>
      </c>
      <c r="M13" s="23">
        <v>1348360.1</v>
      </c>
      <c r="N13" s="24">
        <v>1539666.38276636</v>
      </c>
      <c r="O13" s="24">
        <v>566735.1</v>
      </c>
      <c r="P13" s="24">
        <v>43262190.600000001</v>
      </c>
      <c r="Q13" s="24">
        <v>29216037.899999999</v>
      </c>
      <c r="R13" s="24">
        <v>5512296.0781430705</v>
      </c>
    </row>
    <row r="14" spans="1:18" ht="15" x14ac:dyDescent="0.25">
      <c r="A14" s="20">
        <v>2006</v>
      </c>
      <c r="B14" s="21">
        <f t="shared" si="2"/>
        <v>1.001492026511879</v>
      </c>
      <c r="C14" s="25">
        <f t="shared" si="3"/>
        <v>-3.2342479876226626E-2</v>
      </c>
      <c r="D14" s="25">
        <f t="shared" si="4"/>
        <v>1.9166835574081276</v>
      </c>
      <c r="E14" s="25">
        <f t="shared" si="5"/>
        <v>1.2697659997245923</v>
      </c>
      <c r="F14" s="47">
        <f t="shared" si="5"/>
        <v>0.67926003755976194</v>
      </c>
      <c r="G14" s="25">
        <f t="shared" si="6"/>
        <v>2.0343230641710619</v>
      </c>
      <c r="H14" s="25">
        <f t="shared" si="7"/>
        <v>1.8073658922737934</v>
      </c>
      <c r="I14" s="26">
        <f t="shared" si="8"/>
        <v>0.62417126467668083</v>
      </c>
      <c r="J14" s="26">
        <f t="shared" si="8"/>
        <v>0.37582873532331912</v>
      </c>
      <c r="K14" s="22">
        <f t="shared" si="0"/>
        <v>0.62595425014790351</v>
      </c>
      <c r="L14" s="48">
        <f t="shared" si="1"/>
        <v>0.37404574985209649</v>
      </c>
      <c r="M14" s="23">
        <v>1394329.2</v>
      </c>
      <c r="N14" s="24">
        <v>1569461.5424849901</v>
      </c>
      <c r="O14" s="24">
        <v>592101.30000000005</v>
      </c>
      <c r="P14" s="24">
        <v>44151296.299999997</v>
      </c>
      <c r="Q14" s="24">
        <v>29952395.300000001</v>
      </c>
      <c r="R14" s="24">
        <v>5612829.2013902096</v>
      </c>
    </row>
    <row r="15" spans="1:18" ht="15" x14ac:dyDescent="0.25">
      <c r="A15" s="20">
        <v>2007</v>
      </c>
      <c r="B15" s="21">
        <f t="shared" si="2"/>
        <v>1.0009583288800432</v>
      </c>
      <c r="C15" s="25">
        <f t="shared" si="3"/>
        <v>-5.3304457015438511E-2</v>
      </c>
      <c r="D15" s="25">
        <f t="shared" si="4"/>
        <v>1.5805849272874539</v>
      </c>
      <c r="E15" s="25">
        <f t="shared" si="5"/>
        <v>0.96439523700830554</v>
      </c>
      <c r="F15" s="47">
        <f t="shared" si="5"/>
        <v>0.66949414729458689</v>
      </c>
      <c r="G15" s="25">
        <f t="shared" si="6"/>
        <v>1.5431687909565284</v>
      </c>
      <c r="H15" s="25">
        <f t="shared" si="7"/>
        <v>1.7850547364945513</v>
      </c>
      <c r="I15" s="26">
        <f t="shared" si="8"/>
        <v>0.62494475177308906</v>
      </c>
      <c r="J15" s="26">
        <f t="shared" si="8"/>
        <v>0.37505524822691089</v>
      </c>
      <c r="K15" s="22">
        <f t="shared" si="0"/>
        <v>0.62393525339827471</v>
      </c>
      <c r="L15" s="48">
        <f t="shared" si="1"/>
        <v>0.37606474660172529</v>
      </c>
      <c r="M15" s="23">
        <v>1453436.5</v>
      </c>
      <c r="N15" s="24">
        <v>1594465.2973106101</v>
      </c>
      <c r="O15" s="24">
        <v>614898.5</v>
      </c>
      <c r="P15" s="24">
        <v>44837909.5</v>
      </c>
      <c r="Q15" s="24">
        <v>30402773.399999999</v>
      </c>
      <c r="R15" s="24">
        <v>5713920.8613092797</v>
      </c>
    </row>
    <row r="16" spans="1:18" ht="15" x14ac:dyDescent="0.25">
      <c r="A16" s="20">
        <v>2008</v>
      </c>
      <c r="B16" s="21">
        <f t="shared" si="2"/>
        <v>0.98979402936159733</v>
      </c>
      <c r="C16" s="25">
        <f t="shared" si="3"/>
        <v>-1.1216278625132006</v>
      </c>
      <c r="D16" s="25">
        <f t="shared" si="4"/>
        <v>-0.82863618281585616</v>
      </c>
      <c r="E16" s="25">
        <f t="shared" si="5"/>
        <v>-0.24117177620881911</v>
      </c>
      <c r="F16" s="47">
        <f t="shared" si="5"/>
        <v>0.53416345590616343</v>
      </c>
      <c r="G16" s="25">
        <f t="shared" si="6"/>
        <v>-0.38535380149120613</v>
      </c>
      <c r="H16" s="25">
        <f t="shared" si="7"/>
        <v>1.4276531207546128</v>
      </c>
      <c r="I16" s="26">
        <f t="shared" si="8"/>
        <v>0.62584506828674091</v>
      </c>
      <c r="J16" s="26">
        <f t="shared" si="8"/>
        <v>0.37415493171325914</v>
      </c>
      <c r="K16" s="22">
        <f t="shared" si="0"/>
        <v>0.627754883175207</v>
      </c>
      <c r="L16" s="48">
        <f t="shared" si="1"/>
        <v>0.372245116824793</v>
      </c>
      <c r="M16" s="23">
        <v>1479747.8</v>
      </c>
      <c r="N16" s="24">
        <v>1581307.5710631099</v>
      </c>
      <c r="O16" s="24">
        <v>636702.80000000005</v>
      </c>
      <c r="P16" s="24">
        <v>44665457.399999999</v>
      </c>
      <c r="Q16" s="24">
        <v>30614751.800000001</v>
      </c>
      <c r="R16" s="24">
        <v>5796080.9156135703</v>
      </c>
    </row>
    <row r="17" spans="1:20" ht="15" x14ac:dyDescent="0.25">
      <c r="A17" s="20">
        <v>2009</v>
      </c>
      <c r="B17" s="21">
        <f t="shared" si="2"/>
        <v>0.95408546375539949</v>
      </c>
      <c r="C17" s="25">
        <f t="shared" si="3"/>
        <v>-3.6743618248003882</v>
      </c>
      <c r="D17" s="25">
        <f t="shared" si="4"/>
        <v>-5.6878586543193776</v>
      </c>
      <c r="E17" s="25">
        <f t="shared" si="5"/>
        <v>-2.2667135426732998</v>
      </c>
      <c r="F17" s="47">
        <f t="shared" si="5"/>
        <v>0.25321671315431027</v>
      </c>
      <c r="G17" s="25">
        <f t="shared" si="6"/>
        <v>-3.5563312614378617</v>
      </c>
      <c r="H17" s="25">
        <f t="shared" si="7"/>
        <v>0.69828639898954492</v>
      </c>
      <c r="I17" s="26">
        <f t="shared" si="8"/>
        <v>0.63737412969703056</v>
      </c>
      <c r="J17" s="26">
        <f t="shared" si="8"/>
        <v>0.36262587030296944</v>
      </c>
      <c r="K17" s="22">
        <f t="shared" si="0"/>
        <v>0.64699337621885411</v>
      </c>
      <c r="L17" s="48">
        <f t="shared" si="1"/>
        <v>0.35300662378114589</v>
      </c>
      <c r="M17" s="23">
        <v>1425773.8</v>
      </c>
      <c r="N17" s="24">
        <v>1493875.1190025001</v>
      </c>
      <c r="O17" s="24">
        <v>632316.4</v>
      </c>
      <c r="P17" s="24">
        <v>43104919.200000003</v>
      </c>
      <c r="Q17" s="24">
        <v>29546824.800000001</v>
      </c>
      <c r="R17" s="24">
        <v>5836695.7993934304</v>
      </c>
    </row>
    <row r="18" spans="1:20" ht="15" x14ac:dyDescent="0.25">
      <c r="A18" s="20">
        <v>2010</v>
      </c>
      <c r="B18" s="21">
        <f t="shared" si="2"/>
        <v>0.97266917918432927</v>
      </c>
      <c r="C18" s="25">
        <f t="shared" si="3"/>
        <v>1.929077144922317</v>
      </c>
      <c r="D18" s="25">
        <f t="shared" si="4"/>
        <v>1.7913604482965084</v>
      </c>
      <c r="E18" s="25">
        <f t="shared" si="5"/>
        <v>-0.34828598598485744</v>
      </c>
      <c r="F18" s="47">
        <f t="shared" si="5"/>
        <v>0.21056928935904901</v>
      </c>
      <c r="G18" s="25">
        <f t="shared" si="6"/>
        <v>-0.53779040871013706</v>
      </c>
      <c r="H18" s="25">
        <f t="shared" si="7"/>
        <v>0.5975699276969948</v>
      </c>
      <c r="I18" s="26">
        <f t="shared" si="8"/>
        <v>0.6476240192163405</v>
      </c>
      <c r="J18" s="26">
        <f t="shared" si="8"/>
        <v>0.35237598078365945</v>
      </c>
      <c r="K18" s="22">
        <f t="shared" si="0"/>
        <v>0.64825466221382699</v>
      </c>
      <c r="L18" s="48">
        <f t="shared" si="1"/>
        <v>0.35174533778617301</v>
      </c>
      <c r="M18" s="23">
        <v>1449486.7</v>
      </c>
      <c r="N18" s="24">
        <v>1520876.93489289</v>
      </c>
      <c r="O18" s="24">
        <v>640178.6</v>
      </c>
      <c r="P18" s="24">
        <v>42873727.299999997</v>
      </c>
      <c r="Q18" s="24">
        <v>29210064.100000001</v>
      </c>
      <c r="R18" s="24">
        <v>5871678.5573827503</v>
      </c>
    </row>
    <row r="19" spans="1:20" ht="15" x14ac:dyDescent="0.25">
      <c r="A19" s="20">
        <v>2011</v>
      </c>
      <c r="B19" s="21">
        <f t="shared" si="2"/>
        <v>0.97873474368045688</v>
      </c>
      <c r="C19" s="25">
        <f t="shared" si="3"/>
        <v>0.62166360941265497</v>
      </c>
      <c r="D19" s="25">
        <f t="shared" si="4"/>
        <v>0.77925603897899265</v>
      </c>
      <c r="E19" s="25">
        <f t="shared" si="5"/>
        <v>1.354604195858236E-3</v>
      </c>
      <c r="F19" s="47">
        <f t="shared" si="5"/>
        <v>0.15623782537047945</v>
      </c>
      <c r="G19" s="25">
        <f t="shared" si="6"/>
        <v>2.0993988822937126E-3</v>
      </c>
      <c r="H19" s="25">
        <f t="shared" si="7"/>
        <v>0.44039722883173482</v>
      </c>
      <c r="I19" s="26">
        <f t="shared" si="8"/>
        <v>0.64523431315646596</v>
      </c>
      <c r="J19" s="26">
        <f t="shared" si="8"/>
        <v>0.3547656868435341</v>
      </c>
      <c r="K19" s="22">
        <f t="shared" si="0"/>
        <v>0.64221396409910481</v>
      </c>
      <c r="L19" s="48">
        <f t="shared" si="1"/>
        <v>0.35778603590089519</v>
      </c>
      <c r="M19" s="23">
        <v>1480015.2</v>
      </c>
      <c r="N19" s="24">
        <v>1532774.7572963899</v>
      </c>
      <c r="O19" s="24">
        <v>649067.19999999995</v>
      </c>
      <c r="P19" s="24">
        <v>42874627.399999999</v>
      </c>
      <c r="Q19" s="24">
        <v>29278181.699999999</v>
      </c>
      <c r="R19" s="24">
        <v>5897594.2912360001</v>
      </c>
    </row>
    <row r="20" spans="1:20" ht="15" x14ac:dyDescent="0.25">
      <c r="A20" s="20">
        <v>2012</v>
      </c>
      <c r="B20" s="21">
        <f t="shared" si="2"/>
        <v>0.96698808253157076</v>
      </c>
      <c r="C20" s="25">
        <f t="shared" si="3"/>
        <v>-1.2074488416989895</v>
      </c>
      <c r="D20" s="25">
        <f t="shared" si="4"/>
        <v>-2.8644301082653811</v>
      </c>
      <c r="E20" s="25">
        <f t="shared" si="5"/>
        <v>-1.5975497097912845</v>
      </c>
      <c r="F20" s="47">
        <f t="shared" si="5"/>
        <v>-5.9431556775107218E-2</v>
      </c>
      <c r="G20" s="25">
        <f t="shared" si="6"/>
        <v>-2.4837847605517993</v>
      </c>
      <c r="H20" s="25">
        <f t="shared" si="7"/>
        <v>-0.16656438366684512</v>
      </c>
      <c r="I20" s="26">
        <f t="shared" si="8"/>
        <v>0.64319168680154548</v>
      </c>
      <c r="J20" s="26">
        <f t="shared" si="8"/>
        <v>0.35680831319845452</v>
      </c>
      <c r="K20" s="22">
        <f t="shared" si="0"/>
        <v>0.64416940950398616</v>
      </c>
      <c r="L20" s="48">
        <f t="shared" si="1"/>
        <v>0.35583059049601384</v>
      </c>
      <c r="M20" s="23">
        <v>1455350.5</v>
      </c>
      <c r="N20" s="24">
        <v>1489492.35215818</v>
      </c>
      <c r="O20" s="24">
        <v>640109.69999999995</v>
      </c>
      <c r="P20" s="24">
        <v>41822830.200000003</v>
      </c>
      <c r="Q20" s="24">
        <v>28556181.300000001</v>
      </c>
      <c r="R20" s="24">
        <v>5887779.1761658201</v>
      </c>
    </row>
    <row r="21" spans="1:20" ht="15" x14ac:dyDescent="0.25">
      <c r="A21" s="20">
        <v>2013</v>
      </c>
      <c r="B21" s="21">
        <f t="shared" si="2"/>
        <v>0.97037846315798493</v>
      </c>
      <c r="C21" s="25">
        <f t="shared" si="3"/>
        <v>0.34999923942686451</v>
      </c>
      <c r="D21" s="25">
        <f t="shared" si="4"/>
        <v>-1.5175863363056763</v>
      </c>
      <c r="E21" s="25">
        <f t="shared" si="5"/>
        <v>-1.6826794541986476</v>
      </c>
      <c r="F21" s="47">
        <f t="shared" si="5"/>
        <v>-0.18490612153389319</v>
      </c>
      <c r="G21" s="25">
        <f t="shared" si="6"/>
        <v>-2.6171229495833614</v>
      </c>
      <c r="H21" s="25">
        <f t="shared" si="7"/>
        <v>-0.51787192759640277</v>
      </c>
      <c r="I21" s="26">
        <f t="shared" si="8"/>
        <v>0.64295009696297434</v>
      </c>
      <c r="J21" s="26">
        <f t="shared" si="8"/>
        <v>0.35704990303702566</v>
      </c>
      <c r="K21" s="22">
        <f t="shared" si="0"/>
        <v>0.64173078442196252</v>
      </c>
      <c r="L21" s="48">
        <f t="shared" si="1"/>
        <v>0.35826921557803748</v>
      </c>
      <c r="M21" s="23">
        <v>1445573.7</v>
      </c>
      <c r="N21" s="24">
        <v>1467058.67549813</v>
      </c>
      <c r="O21" s="24">
        <v>634113.80000000005</v>
      </c>
      <c r="P21" s="24">
        <v>40742474.100000001</v>
      </c>
      <c r="Q21" s="24">
        <v>27849762.199999999</v>
      </c>
      <c r="R21" s="24">
        <v>5857366.8371061999</v>
      </c>
    </row>
    <row r="22" spans="1:20" ht="15" x14ac:dyDescent="0.25">
      <c r="A22" s="20">
        <v>2014</v>
      </c>
      <c r="B22" s="21">
        <f t="shared" si="2"/>
        <v>0.97253556804318764</v>
      </c>
      <c r="C22" s="25">
        <f t="shared" si="3"/>
        <v>0.22204850414088476</v>
      </c>
      <c r="D22" s="25">
        <f t="shared" si="4"/>
        <v>-6.9575431364654605E-2</v>
      </c>
      <c r="E22" s="25">
        <f t="shared" si="5"/>
        <v>-6.8388162319501511E-2</v>
      </c>
      <c r="F22" s="47">
        <f t="shared" si="5"/>
        <v>-0.22323577318603785</v>
      </c>
      <c r="G22" s="25">
        <f t="shared" si="6"/>
        <v>-0.10677755549473034</v>
      </c>
      <c r="H22" s="25">
        <f t="shared" si="7"/>
        <v>-0.62091552348793044</v>
      </c>
      <c r="I22" s="26">
        <f t="shared" si="8"/>
        <v>0.6404731968496562</v>
      </c>
      <c r="J22" s="26">
        <f t="shared" si="8"/>
        <v>0.3595268031503438</v>
      </c>
      <c r="K22" s="22">
        <f t="shared" si="0"/>
        <v>0.63921560927734988</v>
      </c>
      <c r="L22" s="48">
        <f t="shared" si="1"/>
        <v>0.36078439072265012</v>
      </c>
      <c r="M22" s="23">
        <v>1453767.7</v>
      </c>
      <c r="N22" s="24">
        <v>1466038.3180964701</v>
      </c>
      <c r="O22" s="24">
        <v>635937.9</v>
      </c>
      <c r="P22" s="24">
        <v>40698993.5</v>
      </c>
      <c r="Q22" s="24">
        <v>27851974.600000001</v>
      </c>
      <c r="R22" s="24">
        <v>5821110.2151292702</v>
      </c>
    </row>
    <row r="23" spans="1:20" ht="15" x14ac:dyDescent="0.25">
      <c r="A23" s="20">
        <v>2015</v>
      </c>
      <c r="B23" s="21">
        <f t="shared" si="2"/>
        <v>0.9784762350057904</v>
      </c>
      <c r="C23" s="25">
        <f t="shared" si="3"/>
        <v>0.60898507257396162</v>
      </c>
      <c r="D23" s="25">
        <f t="shared" si="4"/>
        <v>0.9278124051501635</v>
      </c>
      <c r="E23" s="25">
        <f t="shared" si="5"/>
        <v>0.51064773595882718</v>
      </c>
      <c r="F23" s="47">
        <f t="shared" si="5"/>
        <v>-0.19182040338262532</v>
      </c>
      <c r="G23" s="25">
        <f t="shared" si="6"/>
        <v>0.79984791122065246</v>
      </c>
      <c r="H23" s="25">
        <f t="shared" si="7"/>
        <v>-0.53052232363342</v>
      </c>
      <c r="I23" s="26">
        <f t="shared" si="8"/>
        <v>0.63843104269601048</v>
      </c>
      <c r="J23" s="26">
        <f t="shared" si="8"/>
        <v>0.36156895730398947</v>
      </c>
      <c r="K23" s="22">
        <f t="shared" si="0"/>
        <v>0.63764647611467118</v>
      </c>
      <c r="L23" s="48">
        <f t="shared" si="1"/>
        <v>0.36235352388532882</v>
      </c>
      <c r="M23" s="23">
        <v>1479703.7</v>
      </c>
      <c r="N23" s="24">
        <v>1479703.7</v>
      </c>
      <c r="O23" s="24">
        <v>649315.1</v>
      </c>
      <c r="P23" s="24">
        <v>41025828.899999999</v>
      </c>
      <c r="Q23" s="24">
        <v>28233072.5</v>
      </c>
      <c r="R23" s="24">
        <v>5790309.7000000002</v>
      </c>
    </row>
    <row r="24" spans="1:20" ht="15" x14ac:dyDescent="0.25">
      <c r="A24" s="20">
        <v>2016</v>
      </c>
      <c r="B24" s="21">
        <f t="shared" si="2"/>
        <v>0.98274019129302137</v>
      </c>
      <c r="C24" s="25">
        <f t="shared" si="3"/>
        <v>0.43482840021874891</v>
      </c>
      <c r="D24" s="25">
        <f t="shared" si="4"/>
        <v>1.357806572627851</v>
      </c>
      <c r="E24" s="25">
        <f t="shared" si="5"/>
        <v>1.0530688370608026</v>
      </c>
      <c r="F24" s="47">
        <f t="shared" si="5"/>
        <v>-0.13009066465170052</v>
      </c>
      <c r="G24" s="25">
        <f t="shared" si="6"/>
        <v>1.6605192524103529</v>
      </c>
      <c r="H24" s="25">
        <f t="shared" si="7"/>
        <v>-0.35561429831059144</v>
      </c>
      <c r="I24" s="26">
        <f t="shared" si="8"/>
        <v>0.63418044417865305</v>
      </c>
      <c r="J24" s="26">
        <f t="shared" si="8"/>
        <v>0.36581955582134695</v>
      </c>
      <c r="K24" s="22">
        <f t="shared" si="0"/>
        <v>0.63071441224263491</v>
      </c>
      <c r="L24" s="48">
        <f t="shared" si="1"/>
        <v>0.36928558775736509</v>
      </c>
      <c r="M24" s="23">
        <v>1515428.7</v>
      </c>
      <c r="N24" s="24">
        <v>1499932.23550302</v>
      </c>
      <c r="O24" s="24">
        <v>665223.5</v>
      </c>
      <c r="P24" s="24">
        <v>41712758.200000003</v>
      </c>
      <c r="Q24" s="24">
        <v>29031416.600000001</v>
      </c>
      <c r="R24" s="24">
        <v>5769755.0999999996</v>
      </c>
    </row>
    <row r="25" spans="1:20" ht="15" x14ac:dyDescent="0.25">
      <c r="A25" s="20">
        <v>2017</v>
      </c>
      <c r="B25" s="21">
        <f t="shared" si="2"/>
        <v>0.99493812393250791</v>
      </c>
      <c r="C25" s="25">
        <f t="shared" si="3"/>
        <v>1.2335764847344615</v>
      </c>
      <c r="D25" s="25">
        <f t="shared" si="4"/>
        <v>1.8258463569519989</v>
      </c>
      <c r="E25" s="25">
        <f t="shared" si="5"/>
        <v>0.68046010587861216</v>
      </c>
      <c r="F25" s="47">
        <f t="shared" si="5"/>
        <v>-8.8190233661074757E-2</v>
      </c>
      <c r="G25" s="25">
        <f t="shared" si="6"/>
        <v>1.083838216953481</v>
      </c>
      <c r="H25" s="25">
        <f t="shared" si="7"/>
        <v>-0.23695868213877702</v>
      </c>
      <c r="I25" s="26">
        <f t="shared" si="8"/>
        <v>0.62782442548602058</v>
      </c>
      <c r="J25" s="26">
        <f t="shared" si="8"/>
        <v>0.37217557451397937</v>
      </c>
      <c r="K25" s="22">
        <f t="shared" si="0"/>
        <v>0.62493443872940635</v>
      </c>
      <c r="L25" s="48">
        <f t="shared" si="1"/>
        <v>0.37506556127059365</v>
      </c>
      <c r="M25" s="23">
        <v>1552004</v>
      </c>
      <c r="N25" s="24">
        <v>1527570.2395204899</v>
      </c>
      <c r="O25" s="24">
        <v>682754.8</v>
      </c>
      <c r="P25" s="24">
        <v>42167315.899999999</v>
      </c>
      <c r="Q25" s="24">
        <v>29683385</v>
      </c>
      <c r="R25" s="24">
        <v>5756099.3499847297</v>
      </c>
    </row>
    <row r="26" spans="1:20" ht="15" x14ac:dyDescent="0.25">
      <c r="A26" s="20">
        <v>2018</v>
      </c>
      <c r="B26" s="21">
        <f t="shared" si="2"/>
        <v>0.99909075936675174</v>
      </c>
      <c r="C26" s="25">
        <f t="shared" si="3"/>
        <v>0.41650765164948444</v>
      </c>
      <c r="D26" s="25">
        <f t="shared" si="4"/>
        <v>0.98660010094171469</v>
      </c>
      <c r="E26" s="25">
        <f t="shared" si="5"/>
        <v>0.61542513257458098</v>
      </c>
      <c r="F26" s="47">
        <f t="shared" si="5"/>
        <v>-4.5332683282350753E-2</v>
      </c>
      <c r="G26" s="25">
        <f t="shared" si="6"/>
        <v>0.98294270614047718</v>
      </c>
      <c r="H26" s="25">
        <f t="shared" si="7"/>
        <v>-0.12124435288853874</v>
      </c>
      <c r="I26" s="26">
        <f t="shared" si="8"/>
        <v>0.62610478589443597</v>
      </c>
      <c r="J26" s="26">
        <f t="shared" si="8"/>
        <v>0.37389521410556403</v>
      </c>
      <c r="K26" s="22">
        <f t="shared" si="0"/>
        <v>0.62727513305946558</v>
      </c>
      <c r="L26" s="48">
        <f t="shared" si="1"/>
        <v>0.37272486694053442</v>
      </c>
      <c r="M26" s="23">
        <v>1582453.4</v>
      </c>
      <c r="N26" s="24">
        <v>1542715.83944432</v>
      </c>
      <c r="O26" s="24">
        <v>703650.4</v>
      </c>
      <c r="P26" s="24">
        <v>42583840.200000003</v>
      </c>
      <c r="Q26" s="24">
        <v>30186500</v>
      </c>
      <c r="R26" s="24">
        <v>5749124.6336554699</v>
      </c>
    </row>
    <row r="27" spans="1:20" ht="15" x14ac:dyDescent="0.25">
      <c r="A27" s="20">
        <f>A26+1</f>
        <v>2019</v>
      </c>
      <c r="B27" s="21">
        <f t="shared" si="2"/>
        <v>1.0061512533516275</v>
      </c>
      <c r="C27" s="25">
        <f t="shared" si="3"/>
        <v>0.70420658633402811</v>
      </c>
      <c r="D27" s="25">
        <f t="shared" si="4"/>
        <v>0.70022127569657755</v>
      </c>
      <c r="E27" s="25">
        <f t="shared" si="5"/>
        <v>2.210097719175692E-2</v>
      </c>
      <c r="F27" s="47">
        <f t="shared" si="5"/>
        <v>-2.608628782920755E-2</v>
      </c>
      <c r="G27" s="25">
        <f t="shared" si="6"/>
        <v>3.5132509362156839E-2</v>
      </c>
      <c r="H27" s="25">
        <f t="shared" si="7"/>
        <v>-7.0327628355570937E-2</v>
      </c>
      <c r="I27" s="26">
        <f t="shared" si="8"/>
        <v>0.6290748253685261</v>
      </c>
      <c r="J27" s="26">
        <f t="shared" si="8"/>
        <v>0.37092517463147395</v>
      </c>
      <c r="K27" s="22">
        <f t="shared" si="0"/>
        <v>0.63087451767758651</v>
      </c>
      <c r="L27" s="48">
        <f t="shared" si="1"/>
        <v>0.36912548232241349</v>
      </c>
      <c r="M27" s="23">
        <v>1604269.8</v>
      </c>
      <c r="N27" s="24">
        <v>1553556.1728434099</v>
      </c>
      <c r="O27" s="24">
        <v>718956.8</v>
      </c>
      <c r="P27" s="24">
        <v>42598803.600000001</v>
      </c>
      <c r="Q27" s="24">
        <v>30260758.100000001</v>
      </c>
      <c r="R27" s="24">
        <v>5745082.8320676005</v>
      </c>
    </row>
    <row r="28" spans="1:20" ht="15" x14ac:dyDescent="0.25">
      <c r="A28" s="20">
        <f t="shared" ref="A28:A30" si="9">A27+1</f>
        <v>2020</v>
      </c>
      <c r="B28" s="21">
        <v>1</v>
      </c>
      <c r="C28" s="25">
        <f t="shared" si="3"/>
        <v>-0.61324116200944223</v>
      </c>
      <c r="D28" s="25">
        <f t="shared" si="4"/>
        <v>-8.6629790921167071</v>
      </c>
      <c r="E28" s="25">
        <f t="shared" si="5"/>
        <v>-7.87276491900443</v>
      </c>
      <c r="F28" s="47">
        <f t="shared" si="5"/>
        <v>-0.17697301110283487</v>
      </c>
      <c r="G28" s="25">
        <f t="shared" si="6"/>
        <v>-12.506213614181405</v>
      </c>
      <c r="H28" s="25">
        <f t="shared" si="7"/>
        <v>-0.47767061348942264</v>
      </c>
      <c r="I28" s="26">
        <f t="shared" si="8"/>
        <v>0.62950827179835778</v>
      </c>
      <c r="J28" s="26">
        <f t="shared" si="8"/>
        <v>0.37049172820164222</v>
      </c>
      <c r="K28" s="22">
        <f t="shared" si="0"/>
        <v>0.62814202591912904</v>
      </c>
      <c r="L28" s="48">
        <f t="shared" si="1"/>
        <v>0.37185797408087096</v>
      </c>
      <c r="M28" s="23">
        <v>1496321.9</v>
      </c>
      <c r="N28" s="24">
        <v>1424636.67624206</v>
      </c>
      <c r="O28" s="24">
        <v>677961.2</v>
      </c>
      <c r="P28" s="24">
        <v>37590976.399999999</v>
      </c>
      <c r="Q28" s="24">
        <v>27114747.399999999</v>
      </c>
      <c r="R28" s="24">
        <v>5717705.69797552</v>
      </c>
    </row>
    <row r="29" spans="1:20" ht="15" x14ac:dyDescent="0.25">
      <c r="A29" s="20">
        <f t="shared" si="9"/>
        <v>2021</v>
      </c>
      <c r="B29" s="21">
        <f>B28*EXP(C29/100)</f>
        <v>1.0234225788119586</v>
      </c>
      <c r="C29" s="25">
        <f t="shared" si="3"/>
        <v>2.3152479693807742</v>
      </c>
      <c r="D29" s="25">
        <f t="shared" si="4"/>
        <v>8.5858163947396093</v>
      </c>
      <c r="E29" s="25">
        <f t="shared" si="5"/>
        <v>6.1003869052873272</v>
      </c>
      <c r="F29" s="47">
        <f t="shared" si="5"/>
        <v>0.17018152007150791</v>
      </c>
      <c r="G29" s="25">
        <f t="shared" si="6"/>
        <v>9.749196239313207</v>
      </c>
      <c r="H29" s="25">
        <f t="shared" si="7"/>
        <v>0.45470532538107733</v>
      </c>
      <c r="I29" s="26">
        <f t="shared" si="8"/>
        <v>0.625732291723474</v>
      </c>
      <c r="J29" s="26">
        <f t="shared" si="8"/>
        <v>0.37426770827652606</v>
      </c>
      <c r="K29" s="22">
        <f t="shared" si="0"/>
        <v>0.62332255752781884</v>
      </c>
      <c r="L29" s="48">
        <f t="shared" si="1"/>
        <v>0.37667744247218116</v>
      </c>
      <c r="M29" s="23">
        <v>1644016.4</v>
      </c>
      <c r="N29" s="24">
        <v>1552357.8693762701</v>
      </c>
      <c r="O29" s="24">
        <v>738220.6</v>
      </c>
      <c r="P29" s="24">
        <v>41440389.399999999</v>
      </c>
      <c r="Q29" s="24">
        <v>29853207.399999999</v>
      </c>
      <c r="R29" s="24">
        <v>5743763.6087306701</v>
      </c>
    </row>
    <row r="30" spans="1:20" ht="15" x14ac:dyDescent="0.25">
      <c r="A30" s="20">
        <f t="shared" si="9"/>
        <v>2022</v>
      </c>
      <c r="B30" s="27">
        <f t="shared" ref="B30" si="10">B29*EXP(C30/100)</f>
        <v>1.0435330937056291</v>
      </c>
      <c r="C30" s="28">
        <f t="shared" si="3"/>
        <v>1.9459681478944586</v>
      </c>
      <c r="D30" s="25">
        <f t="shared" si="4"/>
        <v>4.82158790584446</v>
      </c>
      <c r="E30" s="28">
        <f t="shared" si="5"/>
        <v>2.5685232235467992</v>
      </c>
      <c r="F30" s="51">
        <f t="shared" si="5"/>
        <v>0.30709653440320217</v>
      </c>
      <c r="G30" s="25">
        <f t="shared" si="6"/>
        <v>4.1866657574082922</v>
      </c>
      <c r="H30" s="25">
        <f t="shared" si="7"/>
        <v>0.79455951370146494</v>
      </c>
      <c r="I30" s="26">
        <f t="shared" si="8"/>
        <v>0.6135009031952946</v>
      </c>
      <c r="J30" s="26">
        <f t="shared" si="8"/>
        <v>0.3864990968047054</v>
      </c>
      <c r="K30" s="22">
        <f t="shared" si="0"/>
        <v>0.60367924886277036</v>
      </c>
      <c r="L30" s="48">
        <f t="shared" si="1"/>
        <v>0.39632075113722964</v>
      </c>
      <c r="M30" s="23">
        <v>1793606.6</v>
      </c>
      <c r="N30" s="23">
        <v>1629039.9607675299</v>
      </c>
      <c r="O30" s="23">
        <v>783597.5</v>
      </c>
      <c r="P30" s="24">
        <v>43212190.899999999</v>
      </c>
      <c r="Q30" s="24">
        <v>31272736.600000001</v>
      </c>
      <c r="R30" s="24">
        <v>5789583.01911302</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D67E-0641-4E15-8AF4-6ED6B5E6BA8C}">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68</v>
      </c>
      <c r="B1" s="16"/>
    </row>
    <row r="2" spans="1:18" ht="110.25" x14ac:dyDescent="0.2">
      <c r="A2" s="17" t="s">
        <v>142</v>
      </c>
    </row>
    <row r="3" spans="1:18" ht="409.5" customHeight="1" x14ac:dyDescent="0.2">
      <c r="A3" s="17" t="s">
        <v>133</v>
      </c>
      <c r="B3" s="16"/>
    </row>
    <row r="4" spans="1:18" ht="36.75" customHeight="1" x14ac:dyDescent="0.2">
      <c r="A4" s="17"/>
      <c r="B4" s="16"/>
    </row>
    <row r="5" spans="1:18" ht="409.5" customHeight="1" x14ac:dyDescent="0.2">
      <c r="A5" s="17" t="s">
        <v>135</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0.62171312294250014</v>
      </c>
      <c r="L9" s="48">
        <f t="shared" ref="L9:L30" si="1">1-K9</f>
        <v>0.37828687705749986</v>
      </c>
      <c r="M9" s="23">
        <v>10342.593000000001</v>
      </c>
      <c r="N9" s="24">
        <v>12761.81054201</v>
      </c>
      <c r="O9" s="24">
        <v>4485.9409999999998</v>
      </c>
      <c r="P9" s="24">
        <v>627348.83200000005</v>
      </c>
      <c r="Q9" s="24">
        <v>437666.375</v>
      </c>
      <c r="R9" s="24">
        <v>37215.5397966823</v>
      </c>
    </row>
    <row r="10" spans="1:18" ht="15" x14ac:dyDescent="0.25">
      <c r="A10" s="20">
        <v>2002</v>
      </c>
      <c r="B10" s="21">
        <f t="shared" ref="B10:B27" si="2">B11*EXP(-C11/100)</f>
        <v>0.91211137216176552</v>
      </c>
      <c r="C10" s="25">
        <f t="shared" ref="C10:C30" si="3">D10-E10-F10</f>
        <v>2.1348269331158893</v>
      </c>
      <c r="D10" s="25">
        <f t="shared" ref="D10:D30" si="4">(LN(N10)-LN(N9))*100</f>
        <v>3.6553419484986804</v>
      </c>
      <c r="E10" s="25">
        <f t="shared" ref="E10:F30" si="5">I10*G10</f>
        <v>0.40467885061251457</v>
      </c>
      <c r="F10" s="47">
        <f t="shared" si="5"/>
        <v>1.1158361647702764</v>
      </c>
      <c r="G10" s="25">
        <f t="shared" ref="G10:G30" si="6">(LN(P10)-LN(P9))*100</f>
        <v>0.64196519688071163</v>
      </c>
      <c r="H10" s="25">
        <f t="shared" ref="H10:H30" si="7">(LN(R10)-LN(R9))*100</f>
        <v>3.0188335505563657</v>
      </c>
      <c r="I10" s="26">
        <f t="shared" ref="I10:J30" si="8">(K10+K9)/2</f>
        <v>0.63037506173050528</v>
      </c>
      <c r="J10" s="26">
        <f t="shared" si="8"/>
        <v>0.36962493826949477</v>
      </c>
      <c r="K10" s="22">
        <f t="shared" si="0"/>
        <v>0.63903700051851031</v>
      </c>
      <c r="L10" s="48">
        <f t="shared" si="1"/>
        <v>0.36096299948148969</v>
      </c>
      <c r="M10" s="23">
        <v>10703.838</v>
      </c>
      <c r="N10" s="24">
        <v>13236.929057962299</v>
      </c>
      <c r="O10" s="24">
        <v>4838.2089999999998</v>
      </c>
      <c r="P10" s="24">
        <v>631389.14800000004</v>
      </c>
      <c r="Q10" s="24">
        <v>446597.41600000003</v>
      </c>
      <c r="R10" s="24">
        <v>38356.144860744098</v>
      </c>
    </row>
    <row r="11" spans="1:18" ht="15" x14ac:dyDescent="0.25">
      <c r="A11" s="20">
        <v>2003</v>
      </c>
      <c r="B11" s="21">
        <f t="shared" si="2"/>
        <v>0.90760207922271363</v>
      </c>
      <c r="C11" s="25">
        <f t="shared" si="3"/>
        <v>-0.49560574117624601</v>
      </c>
      <c r="D11" s="25">
        <f t="shared" si="4"/>
        <v>2.5894850830301408</v>
      </c>
      <c r="E11" s="25">
        <f t="shared" si="5"/>
        <v>2.072823370359457</v>
      </c>
      <c r="F11" s="47">
        <f t="shared" si="5"/>
        <v>1.0122674538469298</v>
      </c>
      <c r="G11" s="25">
        <f t="shared" si="6"/>
        <v>3.1608386279653899</v>
      </c>
      <c r="H11" s="25">
        <f t="shared" si="7"/>
        <v>2.9407805153320865</v>
      </c>
      <c r="I11" s="26">
        <f t="shared" si="8"/>
        <v>0.65578272551475336</v>
      </c>
      <c r="J11" s="26">
        <f t="shared" si="8"/>
        <v>0.34421727448524664</v>
      </c>
      <c r="K11" s="22">
        <f t="shared" si="0"/>
        <v>0.67252845051099641</v>
      </c>
      <c r="L11" s="48">
        <f t="shared" si="1"/>
        <v>0.32747154948900359</v>
      </c>
      <c r="M11" s="23">
        <v>11396.592000000001</v>
      </c>
      <c r="N11" s="24">
        <v>13584.1738845214</v>
      </c>
      <c r="O11" s="24">
        <v>5364.8509999999997</v>
      </c>
      <c r="P11" s="24">
        <v>651665.09699999995</v>
      </c>
      <c r="Q11" s="24">
        <v>456138.22</v>
      </c>
      <c r="R11" s="24">
        <v>39500.864240748801</v>
      </c>
    </row>
    <row r="12" spans="1:18" ht="15" x14ac:dyDescent="0.25">
      <c r="A12" s="20">
        <v>2004</v>
      </c>
      <c r="B12" s="21">
        <f t="shared" si="2"/>
        <v>0.93126649085106528</v>
      </c>
      <c r="C12" s="25">
        <f t="shared" si="3"/>
        <v>2.5739434028298183</v>
      </c>
      <c r="D12" s="25">
        <f t="shared" si="4"/>
        <v>4.9040303134361807</v>
      </c>
      <c r="E12" s="25">
        <f t="shared" si="5"/>
        <v>1.2901859062272985</v>
      </c>
      <c r="F12" s="47">
        <f t="shared" si="5"/>
        <v>1.0399010043790637</v>
      </c>
      <c r="G12" s="25">
        <f t="shared" si="6"/>
        <v>1.9176835107217016</v>
      </c>
      <c r="H12" s="25">
        <f t="shared" si="7"/>
        <v>3.1780217081266215</v>
      </c>
      <c r="I12" s="26">
        <f t="shared" si="8"/>
        <v>0.67278354275557672</v>
      </c>
      <c r="J12" s="26">
        <f t="shared" si="8"/>
        <v>0.32721645724442328</v>
      </c>
      <c r="K12" s="22">
        <f t="shared" si="0"/>
        <v>0.67303863500015704</v>
      </c>
      <c r="L12" s="48">
        <f t="shared" si="1"/>
        <v>0.32696136499984296</v>
      </c>
      <c r="M12" s="23">
        <v>12190.141</v>
      </c>
      <c r="N12" s="24">
        <v>14266.9508527657</v>
      </c>
      <c r="O12" s="24">
        <v>5715.8</v>
      </c>
      <c r="P12" s="24">
        <v>664282.56599999999</v>
      </c>
      <c r="Q12" s="24">
        <v>462787.00400000002</v>
      </c>
      <c r="R12" s="24">
        <v>40776.370868535399</v>
      </c>
    </row>
    <row r="13" spans="1:18" ht="15" x14ac:dyDescent="0.25">
      <c r="A13" s="20">
        <v>2005</v>
      </c>
      <c r="B13" s="21">
        <f t="shared" si="2"/>
        <v>0.9535690840435973</v>
      </c>
      <c r="C13" s="25">
        <f t="shared" si="3"/>
        <v>2.3666397695817531</v>
      </c>
      <c r="D13" s="25">
        <f t="shared" si="4"/>
        <v>4.7389116968689748</v>
      </c>
      <c r="E13" s="25">
        <f t="shared" si="5"/>
        <v>1.2997495019934682</v>
      </c>
      <c r="F13" s="47">
        <f t="shared" si="5"/>
        <v>1.0725224252937531</v>
      </c>
      <c r="G13" s="25">
        <f t="shared" si="6"/>
        <v>1.8908404209282637</v>
      </c>
      <c r="H13" s="25">
        <f t="shared" si="7"/>
        <v>3.4308914062696871</v>
      </c>
      <c r="I13" s="26">
        <f t="shared" si="8"/>
        <v>0.68739248833880262</v>
      </c>
      <c r="J13" s="26">
        <f t="shared" si="8"/>
        <v>0.31260751166119738</v>
      </c>
      <c r="K13" s="22">
        <f t="shared" si="0"/>
        <v>0.7017463416774482</v>
      </c>
      <c r="L13" s="48">
        <f t="shared" si="1"/>
        <v>0.2982536583225518</v>
      </c>
      <c r="M13" s="23">
        <v>12949.749</v>
      </c>
      <c r="N13" s="24">
        <v>14959.3249860698</v>
      </c>
      <c r="O13" s="24">
        <v>6385.3389999999999</v>
      </c>
      <c r="P13" s="24">
        <v>676962.59100000001</v>
      </c>
      <c r="Q13" s="24">
        <v>475671.489</v>
      </c>
      <c r="R13" s="24">
        <v>42199.639667653501</v>
      </c>
    </row>
    <row r="14" spans="1:18" ht="15" x14ac:dyDescent="0.25">
      <c r="A14" s="20">
        <v>2006</v>
      </c>
      <c r="B14" s="21">
        <f t="shared" si="2"/>
        <v>0.97620170676639928</v>
      </c>
      <c r="C14" s="25">
        <f t="shared" si="3"/>
        <v>2.3457356300066721</v>
      </c>
      <c r="D14" s="25">
        <f t="shared" si="4"/>
        <v>4.606055385618113</v>
      </c>
      <c r="E14" s="25">
        <f t="shared" si="5"/>
        <v>0.72813872715834793</v>
      </c>
      <c r="F14" s="47">
        <f t="shared" si="5"/>
        <v>1.5321810284530928</v>
      </c>
      <c r="G14" s="25">
        <f t="shared" si="6"/>
        <v>1.0543342027423463</v>
      </c>
      <c r="H14" s="25">
        <f t="shared" si="7"/>
        <v>4.9523398820872089</v>
      </c>
      <c r="I14" s="26">
        <f t="shared" si="8"/>
        <v>0.69061472658711365</v>
      </c>
      <c r="J14" s="26">
        <f t="shared" si="8"/>
        <v>0.30938527341288641</v>
      </c>
      <c r="K14" s="22">
        <f t="shared" si="0"/>
        <v>0.67948311149677898</v>
      </c>
      <c r="L14" s="48">
        <f t="shared" si="1"/>
        <v>0.32051688850322102</v>
      </c>
      <c r="M14" s="23">
        <v>13935.834999999999</v>
      </c>
      <c r="N14" s="24">
        <v>15664.4749137451</v>
      </c>
      <c r="O14" s="24">
        <v>6930.9629999999997</v>
      </c>
      <c r="P14" s="24">
        <v>684137.79799999995</v>
      </c>
      <c r="Q14" s="24">
        <v>500755.24099999998</v>
      </c>
      <c r="R14" s="24">
        <v>44342.1229150933</v>
      </c>
    </row>
    <row r="15" spans="1:18" ht="15" x14ac:dyDescent="0.25">
      <c r="A15" s="20">
        <v>2007</v>
      </c>
      <c r="B15" s="21">
        <f t="shared" si="2"/>
        <v>0.96912323384349486</v>
      </c>
      <c r="C15" s="25">
        <f t="shared" si="3"/>
        <v>-0.72774517156881191</v>
      </c>
      <c r="D15" s="25">
        <f t="shared" si="4"/>
        <v>4.9725440163577161</v>
      </c>
      <c r="E15" s="25">
        <f t="shared" si="5"/>
        <v>3.955732813987177</v>
      </c>
      <c r="F15" s="47">
        <f t="shared" si="5"/>
        <v>1.744556373939351</v>
      </c>
      <c r="G15" s="25">
        <f t="shared" si="6"/>
        <v>5.9107047966492132</v>
      </c>
      <c r="H15" s="25">
        <f t="shared" si="7"/>
        <v>5.2745296704596711</v>
      </c>
      <c r="I15" s="26">
        <f t="shared" si="8"/>
        <v>0.66924892209634412</v>
      </c>
      <c r="J15" s="26">
        <f t="shared" si="8"/>
        <v>0.33075107790365588</v>
      </c>
      <c r="K15" s="22">
        <f t="shared" si="0"/>
        <v>0.65901473269590927</v>
      </c>
      <c r="L15" s="48">
        <f t="shared" si="1"/>
        <v>0.34098526730409073</v>
      </c>
      <c r="M15" s="23">
        <v>15116.011</v>
      </c>
      <c r="N15" s="24">
        <v>16463.088993130401</v>
      </c>
      <c r="O15" s="24">
        <v>7631.0609999999997</v>
      </c>
      <c r="P15" s="24">
        <v>725794.12800000003</v>
      </c>
      <c r="Q15" s="24">
        <v>555988.81200000003</v>
      </c>
      <c r="R15" s="24">
        <v>46743.741627818497</v>
      </c>
    </row>
    <row r="16" spans="1:18" ht="15" x14ac:dyDescent="0.25">
      <c r="A16" s="20">
        <v>2008</v>
      </c>
      <c r="B16" s="21">
        <f t="shared" si="2"/>
        <v>0.96107174556367903</v>
      </c>
      <c r="C16" s="25">
        <f t="shared" si="3"/>
        <v>-0.83427167357834309</v>
      </c>
      <c r="D16" s="25">
        <f t="shared" si="4"/>
        <v>3.5820878980665327</v>
      </c>
      <c r="E16" s="25">
        <f t="shared" si="5"/>
        <v>2.4411605101178724</v>
      </c>
      <c r="F16" s="47">
        <f t="shared" si="5"/>
        <v>1.9751990615270034</v>
      </c>
      <c r="G16" s="25">
        <f t="shared" si="6"/>
        <v>3.765302822098171</v>
      </c>
      <c r="H16" s="25">
        <f t="shared" si="7"/>
        <v>5.6166339020242262</v>
      </c>
      <c r="I16" s="26">
        <f t="shared" si="8"/>
        <v>0.6483304598479982</v>
      </c>
      <c r="J16" s="26">
        <f t="shared" si="8"/>
        <v>0.35166954015200186</v>
      </c>
      <c r="K16" s="22">
        <f t="shared" si="0"/>
        <v>0.63764618700008702</v>
      </c>
      <c r="L16" s="48">
        <f t="shared" si="1"/>
        <v>0.36235381299991298</v>
      </c>
      <c r="M16" s="23">
        <v>16416.489000000001</v>
      </c>
      <c r="N16" s="24">
        <v>17063.500750629199</v>
      </c>
      <c r="O16" s="24">
        <v>8379.2720000000008</v>
      </c>
      <c r="P16" s="24">
        <v>753643.49100000004</v>
      </c>
      <c r="Q16" s="24">
        <v>603270.64599999995</v>
      </c>
      <c r="R16" s="24">
        <v>49444.296706643203</v>
      </c>
    </row>
    <row r="17" spans="1:20" ht="15" x14ac:dyDescent="0.25">
      <c r="A17" s="20">
        <v>2009</v>
      </c>
      <c r="B17" s="21">
        <f t="shared" si="2"/>
        <v>0.93605840102431859</v>
      </c>
      <c r="C17" s="25">
        <f t="shared" si="3"/>
        <v>-2.6371194589935696</v>
      </c>
      <c r="D17" s="25">
        <f t="shared" si="4"/>
        <v>-2.03562637426149</v>
      </c>
      <c r="E17" s="25">
        <f t="shared" si="5"/>
        <v>-0.70527901462602127</v>
      </c>
      <c r="F17" s="47">
        <f t="shared" si="5"/>
        <v>1.3067720993581011</v>
      </c>
      <c r="G17" s="25">
        <f t="shared" si="6"/>
        <v>-1.0777078843100085</v>
      </c>
      <c r="H17" s="25">
        <f t="shared" si="7"/>
        <v>3.7814431401882231</v>
      </c>
      <c r="I17" s="26">
        <f t="shared" si="8"/>
        <v>0.65442503009762143</v>
      </c>
      <c r="J17" s="26">
        <f t="shared" si="8"/>
        <v>0.34557496990237857</v>
      </c>
      <c r="K17" s="22">
        <f t="shared" si="0"/>
        <v>0.67120387319515584</v>
      </c>
      <c r="L17" s="48">
        <f t="shared" si="1"/>
        <v>0.32879612680484416</v>
      </c>
      <c r="M17" s="23">
        <v>16419.488000000001</v>
      </c>
      <c r="N17" s="24">
        <v>16719.663126786701</v>
      </c>
      <c r="O17" s="24">
        <v>8922.8510000000006</v>
      </c>
      <c r="P17" s="24">
        <v>745565.02500000002</v>
      </c>
      <c r="Q17" s="24">
        <v>603635.95900000003</v>
      </c>
      <c r="R17" s="24">
        <v>51349.805481296899</v>
      </c>
    </row>
    <row r="18" spans="1:20" ht="15" x14ac:dyDescent="0.25">
      <c r="A18" s="20">
        <v>2010</v>
      </c>
      <c r="B18" s="21">
        <f t="shared" si="2"/>
        <v>0.94357332594999499</v>
      </c>
      <c r="C18" s="25">
        <f t="shared" si="3"/>
        <v>0.79962099590259372</v>
      </c>
      <c r="D18" s="25">
        <f t="shared" si="4"/>
        <v>2.2929950050784242</v>
      </c>
      <c r="E18" s="25">
        <f t="shared" si="5"/>
        <v>0.3319974503457605</v>
      </c>
      <c r="F18" s="47">
        <f t="shared" si="5"/>
        <v>1.16137655883007</v>
      </c>
      <c r="G18" s="25">
        <f t="shared" si="6"/>
        <v>0.50330085143546199</v>
      </c>
      <c r="H18" s="25">
        <f t="shared" si="7"/>
        <v>3.4122020180456403</v>
      </c>
      <c r="I18" s="26">
        <f t="shared" si="8"/>
        <v>0.65964015240362128</v>
      </c>
      <c r="J18" s="26">
        <f t="shared" si="8"/>
        <v>0.34035984759637872</v>
      </c>
      <c r="K18" s="22">
        <f t="shared" si="0"/>
        <v>0.64807643161208672</v>
      </c>
      <c r="L18" s="48">
        <f t="shared" si="1"/>
        <v>0.35192356838791328</v>
      </c>
      <c r="M18" s="23">
        <v>17160.458999999999</v>
      </c>
      <c r="N18" s="24">
        <v>17107.473410524501</v>
      </c>
      <c r="O18" s="24">
        <v>9257.8430000000008</v>
      </c>
      <c r="P18" s="24">
        <v>749326.91899999999</v>
      </c>
      <c r="Q18" s="24">
        <v>623772.20400000003</v>
      </c>
      <c r="R18" s="24">
        <v>53132.201114676398</v>
      </c>
    </row>
    <row r="19" spans="1:20" ht="15" x14ac:dyDescent="0.25">
      <c r="A19" s="20">
        <v>2011</v>
      </c>
      <c r="B19" s="21">
        <f t="shared" si="2"/>
        <v>0.9382525493930769</v>
      </c>
      <c r="C19" s="25">
        <f t="shared" si="3"/>
        <v>-0.56549235566169864</v>
      </c>
      <c r="D19" s="25">
        <f t="shared" si="4"/>
        <v>0.4158446826597384</v>
      </c>
      <c r="E19" s="25">
        <f t="shared" si="5"/>
        <v>0.25757001751990632</v>
      </c>
      <c r="F19" s="47">
        <f t="shared" si="5"/>
        <v>0.72376702080153066</v>
      </c>
      <c r="G19" s="25">
        <f t="shared" si="6"/>
        <v>0.39880154407612167</v>
      </c>
      <c r="H19" s="25">
        <f t="shared" si="7"/>
        <v>2.0437321077325876</v>
      </c>
      <c r="I19" s="26">
        <f t="shared" si="8"/>
        <v>0.64586013104989981</v>
      </c>
      <c r="J19" s="26">
        <f t="shared" si="8"/>
        <v>0.35413986895010019</v>
      </c>
      <c r="K19" s="22">
        <f t="shared" si="0"/>
        <v>0.6436438304877129</v>
      </c>
      <c r="L19" s="48">
        <f t="shared" si="1"/>
        <v>0.3563561695122871</v>
      </c>
      <c r="M19" s="23">
        <v>17649.124</v>
      </c>
      <c r="N19" s="24">
        <v>17178.7620513197</v>
      </c>
      <c r="O19" s="24">
        <v>9551.0550000000003</v>
      </c>
      <c r="P19" s="24">
        <v>752321.21299999999</v>
      </c>
      <c r="Q19" s="24">
        <v>632536.93299999996</v>
      </c>
      <c r="R19" s="24">
        <v>54229.253186280897</v>
      </c>
    </row>
    <row r="20" spans="1:20" ht="15" x14ac:dyDescent="0.25">
      <c r="A20" s="20">
        <v>2012</v>
      </c>
      <c r="B20" s="21">
        <f t="shared" si="2"/>
        <v>0.92567954124321983</v>
      </c>
      <c r="C20" s="25">
        <f t="shared" si="3"/>
        <v>-1.3491048211302741</v>
      </c>
      <c r="D20" s="25">
        <f t="shared" si="4"/>
        <v>-3.5082038301831986</v>
      </c>
      <c r="E20" s="25">
        <f t="shared" si="5"/>
        <v>-2.3910347926609727</v>
      </c>
      <c r="F20" s="47">
        <f t="shared" si="5"/>
        <v>0.23193578360804834</v>
      </c>
      <c r="G20" s="25">
        <f t="shared" si="6"/>
        <v>-3.7212240946974617</v>
      </c>
      <c r="H20" s="25">
        <f t="shared" si="7"/>
        <v>0.64884375860145838</v>
      </c>
      <c r="I20" s="26">
        <f t="shared" si="8"/>
        <v>0.64253985565342997</v>
      </c>
      <c r="J20" s="26">
        <f t="shared" si="8"/>
        <v>0.35746014434657003</v>
      </c>
      <c r="K20" s="22">
        <f t="shared" si="0"/>
        <v>0.64143588081914704</v>
      </c>
      <c r="L20" s="48">
        <f t="shared" si="1"/>
        <v>0.35856411918085296</v>
      </c>
      <c r="M20" s="23">
        <v>17293.858</v>
      </c>
      <c r="N20" s="24">
        <v>16586.544893560302</v>
      </c>
      <c r="O20" s="24">
        <v>9406.625</v>
      </c>
      <c r="P20" s="24">
        <v>724840.14199999999</v>
      </c>
      <c r="Q20" s="24">
        <v>614654.30700000003</v>
      </c>
      <c r="R20" s="24">
        <v>54582.260304783602</v>
      </c>
    </row>
    <row r="21" spans="1:20" ht="15" x14ac:dyDescent="0.25">
      <c r="A21" s="20">
        <v>2013</v>
      </c>
      <c r="B21" s="21">
        <f t="shared" si="2"/>
        <v>0.90805548653689205</v>
      </c>
      <c r="C21" s="25">
        <f t="shared" si="3"/>
        <v>-1.9222621723958349</v>
      </c>
      <c r="D21" s="25">
        <f t="shared" si="4"/>
        <v>-6.8144803778217522</v>
      </c>
      <c r="E21" s="25">
        <f t="shared" si="5"/>
        <v>-4.8332519945097028</v>
      </c>
      <c r="F21" s="47">
        <f t="shared" si="5"/>
        <v>-5.8966210916214595E-2</v>
      </c>
      <c r="G21" s="25">
        <f t="shared" si="6"/>
        <v>-7.6672083607208563</v>
      </c>
      <c r="H21" s="25">
        <f t="shared" si="7"/>
        <v>-0.15953182297625546</v>
      </c>
      <c r="I21" s="26">
        <f t="shared" si="8"/>
        <v>0.63037963325354174</v>
      </c>
      <c r="J21" s="26">
        <f t="shared" si="8"/>
        <v>0.36962036674645826</v>
      </c>
      <c r="K21" s="22">
        <f t="shared" si="0"/>
        <v>0.61932338568793643</v>
      </c>
      <c r="L21" s="48">
        <f t="shared" si="1"/>
        <v>0.38067661431206357</v>
      </c>
      <c r="M21" s="23">
        <v>16037.781999999999</v>
      </c>
      <c r="N21" s="24">
        <v>15493.909548178401</v>
      </c>
      <c r="O21" s="24">
        <v>8371.8690000000006</v>
      </c>
      <c r="P21" s="24">
        <v>671342.24100000004</v>
      </c>
      <c r="Q21" s="24">
        <v>565854.29</v>
      </c>
      <c r="R21" s="24">
        <v>54495.253650002</v>
      </c>
    </row>
    <row r="22" spans="1:20" ht="15" x14ac:dyDescent="0.25">
      <c r="A22" s="20">
        <v>2014</v>
      </c>
      <c r="B22" s="21">
        <f t="shared" si="2"/>
        <v>0.90360323734953563</v>
      </c>
      <c r="C22" s="25">
        <f t="shared" si="3"/>
        <v>-0.4915117943476649</v>
      </c>
      <c r="D22" s="25">
        <f t="shared" si="4"/>
        <v>-1.7920202398723717</v>
      </c>
      <c r="E22" s="25">
        <f t="shared" si="5"/>
        <v>-1.0746955855329769</v>
      </c>
      <c r="F22" s="47">
        <f t="shared" si="5"/>
        <v>-0.22581285999172981</v>
      </c>
      <c r="G22" s="25">
        <f t="shared" si="6"/>
        <v>-1.7423232754833151</v>
      </c>
      <c r="H22" s="25">
        <f t="shared" si="7"/>
        <v>-0.58930899330480457</v>
      </c>
      <c r="I22" s="26">
        <f t="shared" si="8"/>
        <v>0.61681755656673976</v>
      </c>
      <c r="J22" s="26">
        <f t="shared" si="8"/>
        <v>0.38318244343326024</v>
      </c>
      <c r="K22" s="22">
        <f t="shared" si="0"/>
        <v>0.61431172744554308</v>
      </c>
      <c r="L22" s="48">
        <f t="shared" si="1"/>
        <v>0.38568827255445692</v>
      </c>
      <c r="M22" s="23">
        <v>15322.825000000001</v>
      </c>
      <c r="N22" s="24">
        <v>15218.728566686599</v>
      </c>
      <c r="O22" s="24">
        <v>7900.99</v>
      </c>
      <c r="P22" s="24">
        <v>659746.59900000005</v>
      </c>
      <c r="Q22" s="24">
        <v>553772.04</v>
      </c>
      <c r="R22" s="24">
        <v>54175.052632688901</v>
      </c>
    </row>
    <row r="23" spans="1:20" ht="15" x14ac:dyDescent="0.25">
      <c r="A23" s="20">
        <v>2015</v>
      </c>
      <c r="B23" s="21">
        <f t="shared" si="2"/>
        <v>0.92413813984936755</v>
      </c>
      <c r="C23" s="25">
        <f t="shared" si="3"/>
        <v>2.247119515728043</v>
      </c>
      <c r="D23" s="25">
        <f t="shared" si="4"/>
        <v>3.2080585931321792</v>
      </c>
      <c r="E23" s="25">
        <f t="shared" si="5"/>
        <v>1.2416092966531633</v>
      </c>
      <c r="F23" s="47">
        <f t="shared" si="5"/>
        <v>-0.28067021924902713</v>
      </c>
      <c r="G23" s="25">
        <f t="shared" si="6"/>
        <v>2.0479676827727999</v>
      </c>
      <c r="H23" s="25">
        <f t="shared" si="7"/>
        <v>-0.71283879281622831</v>
      </c>
      <c r="I23" s="26">
        <f t="shared" si="8"/>
        <v>0.6062641061660281</v>
      </c>
      <c r="J23" s="26">
        <f t="shared" si="8"/>
        <v>0.39373589383397184</v>
      </c>
      <c r="K23" s="22">
        <f t="shared" si="0"/>
        <v>0.59821648488651324</v>
      </c>
      <c r="L23" s="48">
        <f t="shared" si="1"/>
        <v>0.40178351511348676</v>
      </c>
      <c r="M23" s="23">
        <v>15714.87</v>
      </c>
      <c r="N23" s="24">
        <v>15714.87</v>
      </c>
      <c r="O23" s="24">
        <v>7929.143</v>
      </c>
      <c r="P23" s="24">
        <v>673397.3</v>
      </c>
      <c r="Q23" s="24">
        <v>567973.995</v>
      </c>
      <c r="R23" s="24">
        <v>53790.245000000003</v>
      </c>
    </row>
    <row r="24" spans="1:20" ht="15" x14ac:dyDescent="0.25">
      <c r="A24" s="20">
        <v>2016</v>
      </c>
      <c r="B24" s="21">
        <f t="shared" si="2"/>
        <v>0.9484346951212328</v>
      </c>
      <c r="C24" s="25">
        <f t="shared" si="3"/>
        <v>2.5951373846633392</v>
      </c>
      <c r="D24" s="25">
        <f t="shared" si="4"/>
        <v>6.3669905718485964</v>
      </c>
      <c r="E24" s="25">
        <f t="shared" si="5"/>
        <v>3.1857447630166726</v>
      </c>
      <c r="F24" s="47">
        <f t="shared" si="5"/>
        <v>0.58610842416858455</v>
      </c>
      <c r="G24" s="25">
        <f t="shared" si="6"/>
        <v>5.3893287075457152</v>
      </c>
      <c r="H24" s="25">
        <f t="shared" si="7"/>
        <v>1.4334516113844842</v>
      </c>
      <c r="I24" s="26">
        <f t="shared" si="8"/>
        <v>0.59112088645775918</v>
      </c>
      <c r="J24" s="26">
        <f t="shared" si="8"/>
        <v>0.40887911354224082</v>
      </c>
      <c r="K24" s="22">
        <f t="shared" si="0"/>
        <v>0.58402528802900511</v>
      </c>
      <c r="L24" s="48">
        <f t="shared" si="1"/>
        <v>0.41597471197099489</v>
      </c>
      <c r="M24" s="23">
        <v>16646.482</v>
      </c>
      <c r="N24" s="24">
        <v>16747.9741314887</v>
      </c>
      <c r="O24" s="24">
        <v>8231.8979999999992</v>
      </c>
      <c r="P24" s="24">
        <v>710684.63800000004</v>
      </c>
      <c r="Q24" s="24">
        <v>601759.272</v>
      </c>
      <c r="R24" s="24">
        <v>54566.855000000003</v>
      </c>
    </row>
    <row r="25" spans="1:20" ht="15" x14ac:dyDescent="0.25">
      <c r="A25" s="20">
        <v>2017</v>
      </c>
      <c r="B25" s="21">
        <f t="shared" si="2"/>
        <v>0.96772101940929067</v>
      </c>
      <c r="C25" s="25">
        <f t="shared" si="3"/>
        <v>2.0130906333022507</v>
      </c>
      <c r="D25" s="25">
        <f t="shared" si="4"/>
        <v>5.6092712557674673</v>
      </c>
      <c r="E25" s="25">
        <f t="shared" si="5"/>
        <v>2.4906128913654828</v>
      </c>
      <c r="F25" s="47">
        <f t="shared" si="5"/>
        <v>1.1055677310997341</v>
      </c>
      <c r="G25" s="25">
        <f t="shared" si="6"/>
        <v>4.2563385950925792</v>
      </c>
      <c r="H25" s="25">
        <f t="shared" si="7"/>
        <v>2.6650065711995907</v>
      </c>
      <c r="I25" s="26">
        <f t="shared" si="8"/>
        <v>0.58515384425409178</v>
      </c>
      <c r="J25" s="26">
        <f t="shared" si="8"/>
        <v>0.41484615574590816</v>
      </c>
      <c r="K25" s="22">
        <f t="shared" si="0"/>
        <v>0.58628240047917857</v>
      </c>
      <c r="L25" s="48">
        <f t="shared" si="1"/>
        <v>0.41371759952082143</v>
      </c>
      <c r="M25" s="23">
        <v>17740.456999999999</v>
      </c>
      <c r="N25" s="24">
        <v>17714.260907049</v>
      </c>
      <c r="O25" s="24">
        <v>8840.0110000000004</v>
      </c>
      <c r="P25" s="24">
        <v>741586.76699999999</v>
      </c>
      <c r="Q25" s="24">
        <v>630293.91799999995</v>
      </c>
      <c r="R25" s="24">
        <v>56040.615960419302</v>
      </c>
    </row>
    <row r="26" spans="1:20" ht="15" x14ac:dyDescent="0.25">
      <c r="A26" s="20">
        <v>2018</v>
      </c>
      <c r="B26" s="21">
        <f t="shared" si="2"/>
        <v>0.99139246300289952</v>
      </c>
      <c r="C26" s="25">
        <f t="shared" si="3"/>
        <v>2.4166640531518229</v>
      </c>
      <c r="D26" s="25">
        <f t="shared" si="4"/>
        <v>6.1886174392881799</v>
      </c>
      <c r="E26" s="25">
        <f t="shared" si="5"/>
        <v>2.9227701507884651</v>
      </c>
      <c r="F26" s="47">
        <f t="shared" si="5"/>
        <v>0.84918323534789175</v>
      </c>
      <c r="G26" s="25">
        <f t="shared" si="6"/>
        <v>4.9783990633040176</v>
      </c>
      <c r="H26" s="25">
        <f t="shared" si="7"/>
        <v>2.0565837528797815</v>
      </c>
      <c r="I26" s="26">
        <f t="shared" si="8"/>
        <v>0.58709037054347912</v>
      </c>
      <c r="J26" s="26">
        <f t="shared" si="8"/>
        <v>0.41290962945652093</v>
      </c>
      <c r="K26" s="22">
        <f t="shared" si="0"/>
        <v>0.58789834060777957</v>
      </c>
      <c r="L26" s="48">
        <f t="shared" si="1"/>
        <v>0.41210165939222043</v>
      </c>
      <c r="M26" s="23">
        <v>19024.643</v>
      </c>
      <c r="N26" s="24">
        <v>18845.161385765899</v>
      </c>
      <c r="O26" s="24">
        <v>9553.2099999999991</v>
      </c>
      <c r="P26" s="24">
        <v>779440.34900000005</v>
      </c>
      <c r="Q26" s="24">
        <v>665753.5</v>
      </c>
      <c r="R26" s="24">
        <v>57205.071118813998</v>
      </c>
    </row>
    <row r="27" spans="1:20" ht="15" x14ac:dyDescent="0.25">
      <c r="A27" s="20">
        <f>A26+1</f>
        <v>2019</v>
      </c>
      <c r="B27" s="21">
        <f t="shared" si="2"/>
        <v>1.0105667488388241</v>
      </c>
      <c r="C27" s="25">
        <f t="shared" si="3"/>
        <v>1.9156106740704117</v>
      </c>
      <c r="D27" s="25">
        <f t="shared" si="4"/>
        <v>5.8940874636206786</v>
      </c>
      <c r="E27" s="25">
        <f t="shared" si="5"/>
        <v>2.9841796325299743</v>
      </c>
      <c r="F27" s="47">
        <f t="shared" si="5"/>
        <v>0.99429715702029253</v>
      </c>
      <c r="G27" s="25">
        <f t="shared" si="6"/>
        <v>5.0184330305331315</v>
      </c>
      <c r="H27" s="25">
        <f t="shared" si="7"/>
        <v>2.4528968219268421</v>
      </c>
      <c r="I27" s="26">
        <f t="shared" si="8"/>
        <v>0.59464370937574329</v>
      </c>
      <c r="J27" s="26">
        <f t="shared" si="8"/>
        <v>0.40535629062425665</v>
      </c>
      <c r="K27" s="22">
        <f t="shared" si="0"/>
        <v>0.60138907814370712</v>
      </c>
      <c r="L27" s="48">
        <f t="shared" si="1"/>
        <v>0.39861092185629288</v>
      </c>
      <c r="M27" s="23">
        <v>20551.32</v>
      </c>
      <c r="N27" s="24">
        <v>19989.298696275499</v>
      </c>
      <c r="O27" s="24">
        <v>10582.206</v>
      </c>
      <c r="P27" s="24">
        <v>819554.16500000004</v>
      </c>
      <c r="Q27" s="24">
        <v>701711.53399999999</v>
      </c>
      <c r="R27" s="24">
        <v>58625.603361767302</v>
      </c>
    </row>
    <row r="28" spans="1:20" ht="15" x14ac:dyDescent="0.25">
      <c r="A28" s="20">
        <f t="shared" ref="A28:A30" si="9">A27+1</f>
        <v>2020</v>
      </c>
      <c r="B28" s="21">
        <v>1</v>
      </c>
      <c r="C28" s="25">
        <f t="shared" si="3"/>
        <v>-1.0511310938594953</v>
      </c>
      <c r="D28" s="25">
        <f t="shared" si="4"/>
        <v>-3.1879513945963112</v>
      </c>
      <c r="E28" s="25">
        <f t="shared" si="5"/>
        <v>-3.2428286894041602</v>
      </c>
      <c r="F28" s="47">
        <f t="shared" si="5"/>
        <v>1.1060083886673444</v>
      </c>
      <c r="G28" s="25">
        <f t="shared" si="6"/>
        <v>-5.3101398972009051</v>
      </c>
      <c r="H28" s="25">
        <f t="shared" si="7"/>
        <v>2.8409168630012971</v>
      </c>
      <c r="I28" s="26">
        <f t="shared" si="8"/>
        <v>0.61068611226486302</v>
      </c>
      <c r="J28" s="26">
        <f t="shared" si="8"/>
        <v>0.38931388773513698</v>
      </c>
      <c r="K28" s="22">
        <f t="shared" si="0"/>
        <v>0.61998314638601892</v>
      </c>
      <c r="L28" s="48">
        <f t="shared" si="1"/>
        <v>0.38001685361398108</v>
      </c>
      <c r="M28" s="23">
        <v>19958.633000000002</v>
      </c>
      <c r="N28" s="24">
        <v>19362.100080993499</v>
      </c>
      <c r="O28" s="24">
        <v>10572.143</v>
      </c>
      <c r="P28" s="24">
        <v>777169.98100000003</v>
      </c>
      <c r="Q28" s="24">
        <v>664000.44400000002</v>
      </c>
      <c r="R28" s="24">
        <v>60314.991448015498</v>
      </c>
    </row>
    <row r="29" spans="1:20" ht="15" x14ac:dyDescent="0.25">
      <c r="A29" s="20">
        <f t="shared" si="9"/>
        <v>2021</v>
      </c>
      <c r="B29" s="21">
        <f>B28*EXP(C29/100)</f>
        <v>1.0499764995568541</v>
      </c>
      <c r="C29" s="25">
        <f t="shared" si="3"/>
        <v>4.8767782544540648</v>
      </c>
      <c r="D29" s="25">
        <f t="shared" si="4"/>
        <v>10.785159227020102</v>
      </c>
      <c r="E29" s="25">
        <f t="shared" si="5"/>
        <v>4.8738175973615636</v>
      </c>
      <c r="F29" s="47">
        <f t="shared" si="5"/>
        <v>1.0345633752044743</v>
      </c>
      <c r="G29" s="25">
        <f t="shared" si="6"/>
        <v>8.1159877382990686</v>
      </c>
      <c r="H29" s="25">
        <f t="shared" si="7"/>
        <v>2.5897788526375365</v>
      </c>
      <c r="I29" s="26">
        <f t="shared" si="8"/>
        <v>0.60052057180448726</v>
      </c>
      <c r="J29" s="26">
        <f t="shared" si="8"/>
        <v>0.3994794281955128</v>
      </c>
      <c r="K29" s="22">
        <f t="shared" si="0"/>
        <v>0.58105799722295548</v>
      </c>
      <c r="L29" s="48">
        <f t="shared" si="1"/>
        <v>0.41894200277704452</v>
      </c>
      <c r="M29" s="23">
        <v>22796.678</v>
      </c>
      <c r="N29" s="24">
        <v>21567.102978868599</v>
      </c>
      <c r="O29" s="24">
        <v>11408.032999999999</v>
      </c>
      <c r="P29" s="24">
        <v>842875.255</v>
      </c>
      <c r="Q29" s="24">
        <v>725910.41099999996</v>
      </c>
      <c r="R29" s="24">
        <v>61897.418580219201</v>
      </c>
    </row>
    <row r="30" spans="1:20" ht="15" x14ac:dyDescent="0.25">
      <c r="A30" s="20">
        <f t="shared" si="9"/>
        <v>2022</v>
      </c>
      <c r="B30" s="27">
        <f t="shared" ref="B30" si="10">B29*EXP(C30/100)</f>
        <v>1.0843716336725433</v>
      </c>
      <c r="C30" s="28">
        <f t="shared" si="3"/>
        <v>3.2232897209531446</v>
      </c>
      <c r="D30" s="25">
        <f t="shared" si="4"/>
        <v>6.9571455351809419</v>
      </c>
      <c r="E30" s="28">
        <f t="shared" si="5"/>
        <v>2.867164358501114</v>
      </c>
      <c r="F30" s="51">
        <f t="shared" si="5"/>
        <v>0.8666914557266836</v>
      </c>
      <c r="G30" s="25">
        <f t="shared" si="6"/>
        <v>4.9919632021568461</v>
      </c>
      <c r="H30" s="25">
        <f t="shared" si="7"/>
        <v>2.0361889162023417</v>
      </c>
      <c r="I30" s="26">
        <f t="shared" si="8"/>
        <v>0.57435606842260301</v>
      </c>
      <c r="J30" s="26">
        <f t="shared" si="8"/>
        <v>0.42564393157739699</v>
      </c>
      <c r="K30" s="22">
        <f t="shared" si="0"/>
        <v>0.56765413962225053</v>
      </c>
      <c r="L30" s="48">
        <f t="shared" si="1"/>
        <v>0.43234586037774947</v>
      </c>
      <c r="M30" s="23">
        <v>26032.359</v>
      </c>
      <c r="N30" s="23">
        <v>23120.9838934867</v>
      </c>
      <c r="O30" s="23">
        <v>12776.45</v>
      </c>
      <c r="P30" s="24">
        <v>886019.18299999996</v>
      </c>
      <c r="Q30" s="24">
        <v>766048.01300000004</v>
      </c>
      <c r="R30" s="24">
        <v>63170.686030332101</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4D5F-190A-4B9C-927C-80A21892A5B6}">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69</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0.54324175277885778</v>
      </c>
      <c r="L9" s="48">
        <f t="shared" ref="L9:L30" si="1">1-K9</f>
        <v>0.45675824722114222</v>
      </c>
      <c r="M9" s="23">
        <v>6567.3869999999997</v>
      </c>
      <c r="N9" s="24">
        <v>12474.4551814351</v>
      </c>
      <c r="O9" s="24">
        <v>3001.1619999999998</v>
      </c>
      <c r="P9" s="24">
        <v>2009849.798</v>
      </c>
      <c r="Q9" s="24">
        <v>1690702.8729999999</v>
      </c>
      <c r="R9" s="24">
        <v>45578.640537732797</v>
      </c>
    </row>
    <row r="10" spans="1:18" ht="15" x14ac:dyDescent="0.25">
      <c r="A10" s="20">
        <v>2002</v>
      </c>
      <c r="B10" s="21">
        <f t="shared" ref="B10:B27" si="2">B11*EXP(-C11/100)</f>
        <v>0.66891395226995332</v>
      </c>
      <c r="C10" s="25">
        <f t="shared" ref="C10:C30" si="3">D10-E10-F10</f>
        <v>6.4975845583919547</v>
      </c>
      <c r="D10" s="25">
        <f t="shared" ref="D10:D30" si="4">(LN(N10)-LN(N9))*100</f>
        <v>7.6003378964161428</v>
      </c>
      <c r="E10" s="25">
        <f t="shared" ref="E10:F30" si="5">I10*G10</f>
        <v>-0.11588872061449888</v>
      </c>
      <c r="F10" s="47">
        <f t="shared" si="5"/>
        <v>1.2186420586386866</v>
      </c>
      <c r="G10" s="25">
        <f t="shared" ref="G10:G30" si="6">(LN(P10)-LN(P9))*100</f>
        <v>-0.21964529997440252</v>
      </c>
      <c r="H10" s="25">
        <f t="shared" ref="H10:H30" si="7">(LN(R10)-LN(R9))*100</f>
        <v>2.5797785758014058</v>
      </c>
      <c r="I10" s="26">
        <f t="shared" ref="I10:J30" si="8">(K10+K9)/2</f>
        <v>0.52761757537267839</v>
      </c>
      <c r="J10" s="26">
        <f t="shared" si="8"/>
        <v>0.47238242462732155</v>
      </c>
      <c r="K10" s="22">
        <f t="shared" si="0"/>
        <v>0.51199339796649912</v>
      </c>
      <c r="L10" s="48">
        <f t="shared" si="1"/>
        <v>0.48800660203350088</v>
      </c>
      <c r="M10" s="23">
        <v>7308.3310000000001</v>
      </c>
      <c r="N10" s="24">
        <v>13459.5157529154</v>
      </c>
      <c r="O10" s="24">
        <v>3215.2089999999998</v>
      </c>
      <c r="P10" s="24">
        <v>2005440.102</v>
      </c>
      <c r="Q10" s="24">
        <v>1723202.5730000001</v>
      </c>
      <c r="R10" s="24">
        <v>46769.766690421202</v>
      </c>
    </row>
    <row r="11" spans="1:18" ht="15" x14ac:dyDescent="0.25">
      <c r="A11" s="20">
        <v>2003</v>
      </c>
      <c r="B11" s="21">
        <f t="shared" si="2"/>
        <v>0.71191810471867145</v>
      </c>
      <c r="C11" s="25">
        <f t="shared" si="3"/>
        <v>6.2307452898275306</v>
      </c>
      <c r="D11" s="25">
        <f t="shared" si="4"/>
        <v>8.02901132571332</v>
      </c>
      <c r="E11" s="25">
        <f t="shared" si="5"/>
        <v>0.162272193589582</v>
      </c>
      <c r="F11" s="47">
        <f t="shared" si="5"/>
        <v>1.6359938422962068</v>
      </c>
      <c r="G11" s="25">
        <f t="shared" si="6"/>
        <v>0.31492458039998894</v>
      </c>
      <c r="H11" s="25">
        <f t="shared" si="7"/>
        <v>3.3750843015772247</v>
      </c>
      <c r="I11" s="26">
        <f t="shared" si="8"/>
        <v>0.51527319138912064</v>
      </c>
      <c r="J11" s="26">
        <f t="shared" si="8"/>
        <v>0.48472680861087936</v>
      </c>
      <c r="K11" s="22">
        <f t="shared" si="0"/>
        <v>0.51855298481174217</v>
      </c>
      <c r="L11" s="48">
        <f t="shared" si="1"/>
        <v>0.48144701518825783</v>
      </c>
      <c r="M11" s="23">
        <v>8155.25</v>
      </c>
      <c r="N11" s="24">
        <v>14584.7499679098</v>
      </c>
      <c r="O11" s="24">
        <v>3671.547</v>
      </c>
      <c r="P11" s="24">
        <v>2011765.6810000001</v>
      </c>
      <c r="Q11" s="24">
        <v>1746610.513</v>
      </c>
      <c r="R11" s="24">
        <v>48375.226151043702</v>
      </c>
    </row>
    <row r="12" spans="1:18" ht="15" x14ac:dyDescent="0.25">
      <c r="A12" s="20">
        <v>2004</v>
      </c>
      <c r="B12" s="21">
        <f t="shared" si="2"/>
        <v>0.76081293578414766</v>
      </c>
      <c r="C12" s="25">
        <f t="shared" si="3"/>
        <v>6.6424630623529985</v>
      </c>
      <c r="D12" s="25">
        <f t="shared" si="4"/>
        <v>8.386591913571273</v>
      </c>
      <c r="E12" s="25">
        <f t="shared" si="5"/>
        <v>-0.83374026696588432</v>
      </c>
      <c r="F12" s="47">
        <f t="shared" si="5"/>
        <v>2.5778691181841595</v>
      </c>
      <c r="G12" s="25">
        <f t="shared" si="6"/>
        <v>-1.6167820722564841</v>
      </c>
      <c r="H12" s="25">
        <f t="shared" si="7"/>
        <v>5.3226437550891958</v>
      </c>
      <c r="I12" s="26">
        <f t="shared" si="8"/>
        <v>0.51567881736977905</v>
      </c>
      <c r="J12" s="26">
        <f t="shared" si="8"/>
        <v>0.48432118263022095</v>
      </c>
      <c r="K12" s="22">
        <f t="shared" si="0"/>
        <v>0.51280464992781594</v>
      </c>
      <c r="L12" s="48">
        <f t="shared" si="1"/>
        <v>0.48719535007218406</v>
      </c>
      <c r="M12" s="23">
        <v>9497.3240000000005</v>
      </c>
      <c r="N12" s="24">
        <v>15860.668719330601</v>
      </c>
      <c r="O12" s="24">
        <v>4233.6049999999996</v>
      </c>
      <c r="P12" s="24">
        <v>1979501.3389999999</v>
      </c>
      <c r="Q12" s="24">
        <v>1720730.777</v>
      </c>
      <c r="R12" s="24">
        <v>51019.8240391203</v>
      </c>
    </row>
    <row r="13" spans="1:18" ht="15" x14ac:dyDescent="0.25">
      <c r="A13" s="20">
        <v>2005</v>
      </c>
      <c r="B13" s="21">
        <f t="shared" si="2"/>
        <v>0.81139981776370207</v>
      </c>
      <c r="C13" s="25">
        <f t="shared" si="3"/>
        <v>6.437341221993659</v>
      </c>
      <c r="D13" s="25">
        <f t="shared" si="4"/>
        <v>11.240483389208222</v>
      </c>
      <c r="E13" s="25">
        <f t="shared" si="5"/>
        <v>1.6168234318731209</v>
      </c>
      <c r="F13" s="47">
        <f t="shared" si="5"/>
        <v>3.1863187353414433</v>
      </c>
      <c r="G13" s="25">
        <f t="shared" si="6"/>
        <v>3.0781697584826517</v>
      </c>
      <c r="H13" s="25">
        <f t="shared" si="7"/>
        <v>6.7116396663960742</v>
      </c>
      <c r="I13" s="26">
        <f t="shared" si="8"/>
        <v>0.52525479708114453</v>
      </c>
      <c r="J13" s="26">
        <f t="shared" si="8"/>
        <v>0.47474520291885541</v>
      </c>
      <c r="K13" s="22">
        <f t="shared" si="0"/>
        <v>0.53770494423447324</v>
      </c>
      <c r="L13" s="48">
        <f t="shared" si="1"/>
        <v>0.46229505576552676</v>
      </c>
      <c r="M13" s="23">
        <v>11590.101000000001</v>
      </c>
      <c r="N13" s="24">
        <v>17747.545294707801</v>
      </c>
      <c r="O13" s="24">
        <v>5475.9340000000002</v>
      </c>
      <c r="P13" s="24">
        <v>2041381.2490000001</v>
      </c>
      <c r="Q13" s="24">
        <v>1793705.236</v>
      </c>
      <c r="R13" s="24">
        <v>54561.617562968699</v>
      </c>
    </row>
    <row r="14" spans="1:18" ht="15" x14ac:dyDescent="0.25">
      <c r="A14" s="20">
        <v>2006</v>
      </c>
      <c r="B14" s="21">
        <f t="shared" si="2"/>
        <v>0.85817072858078391</v>
      </c>
      <c r="C14" s="25">
        <f t="shared" si="3"/>
        <v>5.6042137875661915</v>
      </c>
      <c r="D14" s="25">
        <f t="shared" si="4"/>
        <v>11.638667755470244</v>
      </c>
      <c r="E14" s="25">
        <f t="shared" si="5"/>
        <v>2.6946658707534157</v>
      </c>
      <c r="F14" s="47">
        <f t="shared" si="5"/>
        <v>3.3397880971506382</v>
      </c>
      <c r="G14" s="25">
        <f t="shared" si="6"/>
        <v>4.8821641217328349</v>
      </c>
      <c r="H14" s="25">
        <f t="shared" si="7"/>
        <v>7.4539001870281396</v>
      </c>
      <c r="I14" s="26">
        <f t="shared" si="8"/>
        <v>0.55194086138116005</v>
      </c>
      <c r="J14" s="26">
        <f t="shared" si="8"/>
        <v>0.44805913861883995</v>
      </c>
      <c r="K14" s="22">
        <f t="shared" si="0"/>
        <v>0.56617677852784687</v>
      </c>
      <c r="L14" s="48">
        <f t="shared" si="1"/>
        <v>0.43382322147215313</v>
      </c>
      <c r="M14" s="23">
        <v>14323.934999999999</v>
      </c>
      <c r="N14" s="24">
        <v>19938.128242751402</v>
      </c>
      <c r="O14" s="24">
        <v>7074.83</v>
      </c>
      <c r="P14" s="24">
        <v>2143517.7820000001</v>
      </c>
      <c r="Q14" s="24">
        <v>1869944.4480000001</v>
      </c>
      <c r="R14" s="24">
        <v>58783.997257633098</v>
      </c>
    </row>
    <row r="15" spans="1:18" ht="15" x14ac:dyDescent="0.25">
      <c r="A15" s="20">
        <v>2007</v>
      </c>
      <c r="B15" s="21">
        <f t="shared" si="2"/>
        <v>0.8961323395469839</v>
      </c>
      <c r="C15" s="25">
        <f t="shared" si="3"/>
        <v>4.328503840247258</v>
      </c>
      <c r="D15" s="25">
        <f t="shared" si="4"/>
        <v>9.0965915289382693</v>
      </c>
      <c r="E15" s="25">
        <f t="shared" si="5"/>
        <v>1.0422920221929226</v>
      </c>
      <c r="F15" s="47">
        <f t="shared" si="5"/>
        <v>3.725795666498088</v>
      </c>
      <c r="G15" s="25">
        <f t="shared" si="6"/>
        <v>1.7933602764465206</v>
      </c>
      <c r="H15" s="25">
        <f t="shared" si="7"/>
        <v>8.89625398039815</v>
      </c>
      <c r="I15" s="26">
        <f t="shared" si="8"/>
        <v>0.58119499794998641</v>
      </c>
      <c r="J15" s="26">
        <f t="shared" si="8"/>
        <v>0.41880500205001353</v>
      </c>
      <c r="K15" s="22">
        <f t="shared" si="0"/>
        <v>0.59621321737212607</v>
      </c>
      <c r="L15" s="48">
        <f t="shared" si="1"/>
        <v>0.40378678262787393</v>
      </c>
      <c r="M15" s="23">
        <v>18990.329000000002</v>
      </c>
      <c r="N15" s="24">
        <v>21836.869571089101</v>
      </c>
      <c r="O15" s="24">
        <v>9986.56</v>
      </c>
      <c r="P15" s="24">
        <v>2182305.5410000002</v>
      </c>
      <c r="Q15" s="24">
        <v>1924852.1769999999</v>
      </c>
      <c r="R15" s="24">
        <v>64253.243319686502</v>
      </c>
    </row>
    <row r="16" spans="1:18" ht="15" x14ac:dyDescent="0.25">
      <c r="A16" s="20">
        <v>2008</v>
      </c>
      <c r="B16" s="21">
        <f t="shared" si="2"/>
        <v>0.87702964321907484</v>
      </c>
      <c r="C16" s="25">
        <f t="shared" si="3"/>
        <v>-2.1547309948708229</v>
      </c>
      <c r="D16" s="25">
        <f t="shared" si="4"/>
        <v>-1.8531702975620234</v>
      </c>
      <c r="E16" s="25">
        <f t="shared" si="5"/>
        <v>-1.9981373470417454</v>
      </c>
      <c r="F16" s="47">
        <f t="shared" si="5"/>
        <v>2.2996980443505448</v>
      </c>
      <c r="G16" s="25">
        <f t="shared" si="6"/>
        <v>-3.2503671487472019</v>
      </c>
      <c r="H16" s="25">
        <f t="shared" si="7"/>
        <v>5.9692421991673683</v>
      </c>
      <c r="I16" s="26">
        <f t="shared" si="8"/>
        <v>0.61474204469851756</v>
      </c>
      <c r="J16" s="26">
        <f t="shared" si="8"/>
        <v>0.38525795530148244</v>
      </c>
      <c r="K16" s="22">
        <f t="shared" si="0"/>
        <v>0.63327087202490906</v>
      </c>
      <c r="L16" s="48">
        <f t="shared" si="1"/>
        <v>0.36672912797509094</v>
      </c>
      <c r="M16" s="23">
        <v>20901.514999999999</v>
      </c>
      <c r="N16" s="24">
        <v>21435.9217874239</v>
      </c>
      <c r="O16" s="24">
        <v>11752.026</v>
      </c>
      <c r="P16" s="24">
        <v>2112513</v>
      </c>
      <c r="Q16" s="24">
        <v>1875620</v>
      </c>
      <c r="R16" s="24">
        <v>68205.460264695997</v>
      </c>
    </row>
    <row r="17" spans="1:20" ht="15" x14ac:dyDescent="0.25">
      <c r="A17" s="20">
        <v>2009</v>
      </c>
      <c r="B17" s="21">
        <f t="shared" si="2"/>
        <v>0.84279936889107399</v>
      </c>
      <c r="C17" s="25">
        <f t="shared" si="3"/>
        <v>-3.9811859401168777</v>
      </c>
      <c r="D17" s="25">
        <f t="shared" si="4"/>
        <v>-14.76706237223997</v>
      </c>
      <c r="E17" s="25">
        <f t="shared" si="5"/>
        <v>-11.189605343752609</v>
      </c>
      <c r="F17" s="47">
        <f t="shared" si="5"/>
        <v>0.40372891162951674</v>
      </c>
      <c r="G17" s="25">
        <f t="shared" si="6"/>
        <v>-18.014462782578633</v>
      </c>
      <c r="H17" s="25">
        <f t="shared" si="7"/>
        <v>1.0656573441996997</v>
      </c>
      <c r="I17" s="26">
        <f t="shared" si="8"/>
        <v>0.62114565828595314</v>
      </c>
      <c r="J17" s="26">
        <f t="shared" si="8"/>
        <v>0.37885434171404692</v>
      </c>
      <c r="K17" s="22">
        <f t="shared" si="0"/>
        <v>0.60902044454699711</v>
      </c>
      <c r="L17" s="48">
        <f t="shared" si="1"/>
        <v>0.39097955545300289</v>
      </c>
      <c r="M17" s="23">
        <v>16574.77</v>
      </c>
      <c r="N17" s="24">
        <v>18493.096111060699</v>
      </c>
      <c r="O17" s="24">
        <v>8840.5930000000008</v>
      </c>
      <c r="P17" s="24">
        <v>1764264</v>
      </c>
      <c r="Q17" s="24">
        <v>1545132</v>
      </c>
      <c r="R17" s="24">
        <v>68936.183348034901</v>
      </c>
    </row>
    <row r="18" spans="1:20" ht="15" x14ac:dyDescent="0.25">
      <c r="A18" s="20">
        <v>2010</v>
      </c>
      <c r="B18" s="21">
        <f t="shared" si="2"/>
        <v>0.84523029861449095</v>
      </c>
      <c r="C18" s="25">
        <f t="shared" si="3"/>
        <v>0.28801998575069904</v>
      </c>
      <c r="D18" s="25">
        <f t="shared" si="4"/>
        <v>-4.3737086312235718</v>
      </c>
      <c r="E18" s="25">
        <f t="shared" si="5"/>
        <v>-4.5380223684159438</v>
      </c>
      <c r="F18" s="47">
        <f t="shared" si="5"/>
        <v>-0.12370624855832707</v>
      </c>
      <c r="G18" s="25">
        <f t="shared" si="6"/>
        <v>-7.7739867284638109</v>
      </c>
      <c r="H18" s="25">
        <f t="shared" si="7"/>
        <v>-0.29718829613631925</v>
      </c>
      <c r="I18" s="26">
        <f t="shared" si="8"/>
        <v>0.58374454792935904</v>
      </c>
      <c r="J18" s="26">
        <f t="shared" si="8"/>
        <v>0.41625545207064091</v>
      </c>
      <c r="K18" s="22">
        <f t="shared" si="0"/>
        <v>0.55846865131172108</v>
      </c>
      <c r="L18" s="48">
        <f t="shared" si="1"/>
        <v>0.44153134868827892</v>
      </c>
      <c r="M18" s="23">
        <v>15717.95</v>
      </c>
      <c r="N18" s="24">
        <v>17701.694915550001</v>
      </c>
      <c r="O18" s="24">
        <v>7710.5550000000003</v>
      </c>
      <c r="P18" s="24">
        <v>1632306</v>
      </c>
      <c r="Q18" s="24">
        <v>1433813</v>
      </c>
      <c r="R18" s="24">
        <v>68731.617203203801</v>
      </c>
    </row>
    <row r="19" spans="1:20" ht="15" x14ac:dyDescent="0.25">
      <c r="A19" s="20">
        <v>2011</v>
      </c>
      <c r="B19" s="21">
        <f t="shared" si="2"/>
        <v>0.85241897507139974</v>
      </c>
      <c r="C19" s="25">
        <f t="shared" si="3"/>
        <v>0.84690277730065078</v>
      </c>
      <c r="D19" s="25">
        <f t="shared" si="4"/>
        <v>2.602424886180188</v>
      </c>
      <c r="E19" s="25">
        <f t="shared" si="5"/>
        <v>1.2992802779577939</v>
      </c>
      <c r="F19" s="47">
        <f t="shared" si="5"/>
        <v>0.45624183092174325</v>
      </c>
      <c r="G19" s="25">
        <f t="shared" si="6"/>
        <v>2.3580503883264825</v>
      </c>
      <c r="H19" s="25">
        <f t="shared" si="7"/>
        <v>1.0161235343158381</v>
      </c>
      <c r="I19" s="26">
        <f t="shared" si="8"/>
        <v>0.55099767349751083</v>
      </c>
      <c r="J19" s="26">
        <f t="shared" si="8"/>
        <v>0.44900232650248922</v>
      </c>
      <c r="K19" s="22">
        <f t="shared" si="0"/>
        <v>0.54352669568330048</v>
      </c>
      <c r="L19" s="48">
        <f t="shared" si="1"/>
        <v>0.45647330431669952</v>
      </c>
      <c r="M19" s="23">
        <v>16839.261999999999</v>
      </c>
      <c r="N19" s="24">
        <v>18168.414907253798</v>
      </c>
      <c r="O19" s="24">
        <v>8038.5519999999997</v>
      </c>
      <c r="P19" s="24">
        <v>1671254</v>
      </c>
      <c r="Q19" s="24">
        <v>1467832</v>
      </c>
      <c r="R19" s="24">
        <v>69433.575683985095</v>
      </c>
    </row>
    <row r="20" spans="1:20" ht="15" x14ac:dyDescent="0.25">
      <c r="A20" s="20">
        <v>2012</v>
      </c>
      <c r="B20" s="21">
        <f t="shared" si="2"/>
        <v>0.89953035824454364</v>
      </c>
      <c r="C20" s="25">
        <f t="shared" si="3"/>
        <v>5.3794642217767628</v>
      </c>
      <c r="D20" s="25">
        <f t="shared" si="4"/>
        <v>6.6878787073033408</v>
      </c>
      <c r="E20" s="25">
        <f t="shared" si="5"/>
        <v>0.28718473190933563</v>
      </c>
      <c r="F20" s="47">
        <f t="shared" si="5"/>
        <v>1.0212297536172419</v>
      </c>
      <c r="G20" s="25">
        <f t="shared" si="6"/>
        <v>0.53249021590993095</v>
      </c>
      <c r="H20" s="25">
        <f t="shared" si="7"/>
        <v>2.2168067469538144</v>
      </c>
      <c r="I20" s="26">
        <f t="shared" si="8"/>
        <v>0.53932396000664173</v>
      </c>
      <c r="J20" s="26">
        <f t="shared" si="8"/>
        <v>0.46067603999335832</v>
      </c>
      <c r="K20" s="22">
        <f t="shared" si="0"/>
        <v>0.53512122432998288</v>
      </c>
      <c r="L20" s="48">
        <f t="shared" si="1"/>
        <v>0.46487877567001712</v>
      </c>
      <c r="M20" s="23">
        <v>18570.120999999999</v>
      </c>
      <c r="N20" s="24">
        <v>19425.049196149201</v>
      </c>
      <c r="O20" s="24">
        <v>8752.6319999999996</v>
      </c>
      <c r="P20" s="24">
        <v>1680177</v>
      </c>
      <c r="Q20" s="24">
        <v>1479881</v>
      </c>
      <c r="R20" s="24">
        <v>70989.971278787794</v>
      </c>
    </row>
    <row r="21" spans="1:20" ht="15" x14ac:dyDescent="0.25">
      <c r="A21" s="20">
        <v>2013</v>
      </c>
      <c r="B21" s="21">
        <f t="shared" si="2"/>
        <v>0.8964293176807111</v>
      </c>
      <c r="C21" s="25">
        <f t="shared" si="3"/>
        <v>-0.3453355537133781</v>
      </c>
      <c r="D21" s="25">
        <f t="shared" si="4"/>
        <v>1.4087215638840078</v>
      </c>
      <c r="E21" s="25">
        <f t="shared" si="5"/>
        <v>1.0600315034533374</v>
      </c>
      <c r="F21" s="47">
        <f t="shared" si="5"/>
        <v>0.69402561414404851</v>
      </c>
      <c r="G21" s="25">
        <f t="shared" si="6"/>
        <v>1.9378013726575105</v>
      </c>
      <c r="H21" s="25">
        <f t="shared" si="7"/>
        <v>1.5321598917118706</v>
      </c>
      <c r="I21" s="26">
        <f t="shared" si="8"/>
        <v>0.54702794538720179</v>
      </c>
      <c r="J21" s="26">
        <f t="shared" si="8"/>
        <v>0.45297205461279827</v>
      </c>
      <c r="K21" s="22">
        <f t="shared" si="0"/>
        <v>0.55893466644442058</v>
      </c>
      <c r="L21" s="48">
        <f t="shared" si="1"/>
        <v>0.44106533355557942</v>
      </c>
      <c r="M21" s="23">
        <v>19227.752</v>
      </c>
      <c r="N21" s="24">
        <v>19700.630582776201</v>
      </c>
      <c r="O21" s="24">
        <v>9449.2360000000008</v>
      </c>
      <c r="P21" s="24">
        <v>1713053</v>
      </c>
      <c r="Q21" s="24">
        <v>1506183.679</v>
      </c>
      <c r="R21" s="24">
        <v>72086.026362429504</v>
      </c>
    </row>
    <row r="22" spans="1:20" ht="15" x14ac:dyDescent="0.25">
      <c r="A22" s="20">
        <v>2014</v>
      </c>
      <c r="B22" s="21">
        <f t="shared" si="2"/>
        <v>0.9124004081021837</v>
      </c>
      <c r="C22" s="25">
        <f t="shared" si="3"/>
        <v>1.7659490277588963</v>
      </c>
      <c r="D22" s="25">
        <f t="shared" si="4"/>
        <v>1.8026074220099275</v>
      </c>
      <c r="E22" s="25">
        <f t="shared" si="5"/>
        <v>-0.45616144746233384</v>
      </c>
      <c r="F22" s="47">
        <f t="shared" si="5"/>
        <v>0.4928198417133649</v>
      </c>
      <c r="G22" s="25">
        <f t="shared" si="6"/>
        <v>-0.80454568762338141</v>
      </c>
      <c r="H22" s="25">
        <f t="shared" si="7"/>
        <v>1.1380999273745473</v>
      </c>
      <c r="I22" s="26">
        <f t="shared" si="8"/>
        <v>0.56698016592423661</v>
      </c>
      <c r="J22" s="26">
        <f t="shared" si="8"/>
        <v>0.43301983407576344</v>
      </c>
      <c r="K22" s="22">
        <f t="shared" si="0"/>
        <v>0.57502566540405253</v>
      </c>
      <c r="L22" s="48">
        <f t="shared" si="1"/>
        <v>0.42497433459594747</v>
      </c>
      <c r="M22" s="23">
        <v>19950.471000000001</v>
      </c>
      <c r="N22" s="24">
        <v>20058.975686243601</v>
      </c>
      <c r="O22" s="24">
        <v>10095.545</v>
      </c>
      <c r="P22" s="24">
        <v>1699326</v>
      </c>
      <c r="Q22" s="24">
        <v>1495430</v>
      </c>
      <c r="R22" s="24">
        <v>72911.123686105799</v>
      </c>
    </row>
    <row r="23" spans="1:20" ht="15" x14ac:dyDescent="0.25">
      <c r="A23" s="20">
        <v>2015</v>
      </c>
      <c r="B23" s="21">
        <f t="shared" si="2"/>
        <v>0.94419691475778866</v>
      </c>
      <c r="C23" s="25">
        <f t="shared" si="3"/>
        <v>3.4255802839655702</v>
      </c>
      <c r="D23" s="25">
        <f t="shared" si="4"/>
        <v>3.4760408103807094</v>
      </c>
      <c r="E23" s="25">
        <f t="shared" si="5"/>
        <v>-0.30208298540658096</v>
      </c>
      <c r="F23" s="47">
        <f t="shared" si="5"/>
        <v>0.35254351182171989</v>
      </c>
      <c r="G23" s="25">
        <f t="shared" si="6"/>
        <v>-0.51198144622937036</v>
      </c>
      <c r="H23" s="25">
        <f t="shared" si="7"/>
        <v>0.85991929780586673</v>
      </c>
      <c r="I23" s="26">
        <f t="shared" si="8"/>
        <v>0.5900272121799629</v>
      </c>
      <c r="J23" s="26">
        <f t="shared" si="8"/>
        <v>0.4099727878200371</v>
      </c>
      <c r="K23" s="22">
        <f t="shared" si="0"/>
        <v>0.60502875895587327</v>
      </c>
      <c r="L23" s="48">
        <f t="shared" si="1"/>
        <v>0.39497124104412673</v>
      </c>
      <c r="M23" s="23">
        <v>20768.493999999999</v>
      </c>
      <c r="N23" s="24">
        <v>20768.493999999999</v>
      </c>
      <c r="O23" s="24">
        <v>10893.712</v>
      </c>
      <c r="P23" s="24">
        <v>1690648</v>
      </c>
      <c r="Q23" s="24">
        <v>1465710.0330000001</v>
      </c>
      <c r="R23" s="24">
        <v>73540.804000000004</v>
      </c>
    </row>
    <row r="24" spans="1:20" ht="15" x14ac:dyDescent="0.25">
      <c r="A24" s="20">
        <v>2016</v>
      </c>
      <c r="B24" s="21">
        <f t="shared" si="2"/>
        <v>0.96320647414383953</v>
      </c>
      <c r="C24" s="25">
        <f t="shared" si="3"/>
        <v>1.9933055492741616</v>
      </c>
      <c r="D24" s="25">
        <f t="shared" si="4"/>
        <v>1.9808330331207102</v>
      </c>
      <c r="E24" s="25">
        <f t="shared" si="5"/>
        <v>-0.16366220807896076</v>
      </c>
      <c r="F24" s="47">
        <f t="shared" si="5"/>
        <v>0.1511896919255093</v>
      </c>
      <c r="G24" s="25">
        <f t="shared" si="6"/>
        <v>-0.26510164127202529</v>
      </c>
      <c r="H24" s="25">
        <f t="shared" si="7"/>
        <v>0.39511888238354942</v>
      </c>
      <c r="I24" s="26">
        <f t="shared" si="8"/>
        <v>0.61735644975137738</v>
      </c>
      <c r="J24" s="26">
        <f t="shared" si="8"/>
        <v>0.38264355024862262</v>
      </c>
      <c r="K24" s="22">
        <f t="shared" si="0"/>
        <v>0.62968414054688149</v>
      </c>
      <c r="L24" s="48">
        <f t="shared" si="1"/>
        <v>0.37031585945311851</v>
      </c>
      <c r="M24" s="23">
        <v>21279.983</v>
      </c>
      <c r="N24" s="24">
        <v>21183.984692662201</v>
      </c>
      <c r="O24" s="24">
        <v>11558.14</v>
      </c>
      <c r="P24" s="24">
        <v>1686172</v>
      </c>
      <c r="Q24" s="24">
        <v>1454439.94</v>
      </c>
      <c r="R24" s="24">
        <v>73831.952415261505</v>
      </c>
    </row>
    <row r="25" spans="1:20" ht="15" x14ac:dyDescent="0.25">
      <c r="A25" s="20">
        <v>2017</v>
      </c>
      <c r="B25" s="21">
        <f t="shared" si="2"/>
        <v>0.99777147495125607</v>
      </c>
      <c r="C25" s="25">
        <f t="shared" si="3"/>
        <v>3.5256471049259717</v>
      </c>
      <c r="D25" s="25">
        <f t="shared" si="4"/>
        <v>3.3415315507012266</v>
      </c>
      <c r="E25" s="25">
        <f t="shared" si="5"/>
        <v>-0.55622155246437666</v>
      </c>
      <c r="F25" s="47">
        <f t="shared" si="5"/>
        <v>0.37210599823963186</v>
      </c>
      <c r="G25" s="25">
        <f t="shared" si="6"/>
        <v>-0.87819218250579922</v>
      </c>
      <c r="H25" s="25">
        <f t="shared" si="7"/>
        <v>1.0149390914181211</v>
      </c>
      <c r="I25" s="26">
        <f t="shared" si="8"/>
        <v>0.63337110434902288</v>
      </c>
      <c r="J25" s="26">
        <f t="shared" si="8"/>
        <v>0.36662889565097712</v>
      </c>
      <c r="K25" s="22">
        <f t="shared" si="0"/>
        <v>0.63705806815116428</v>
      </c>
      <c r="L25" s="48">
        <f t="shared" si="1"/>
        <v>0.36294193184883572</v>
      </c>
      <c r="M25" s="23">
        <v>22589.667000000001</v>
      </c>
      <c r="N25" s="24">
        <v>21903.813907159201</v>
      </c>
      <c r="O25" s="24">
        <v>12468.297</v>
      </c>
      <c r="P25" s="24">
        <v>1671429</v>
      </c>
      <c r="Q25" s="24">
        <v>1448125.5719999999</v>
      </c>
      <c r="R25" s="24">
        <v>74585.117379814197</v>
      </c>
    </row>
    <row r="26" spans="1:20" ht="15" x14ac:dyDescent="0.25">
      <c r="A26" s="20">
        <v>2018</v>
      </c>
      <c r="B26" s="21">
        <f t="shared" si="2"/>
        <v>1.0104751702193588</v>
      </c>
      <c r="C26" s="25">
        <f t="shared" si="3"/>
        <v>1.2651697688724588</v>
      </c>
      <c r="D26" s="25">
        <f t="shared" si="4"/>
        <v>3.6235694466487445</v>
      </c>
      <c r="E26" s="25">
        <f t="shared" si="5"/>
        <v>1.7223787964833193</v>
      </c>
      <c r="F26" s="47">
        <f t="shared" si="5"/>
        <v>0.6360208812929663</v>
      </c>
      <c r="G26" s="25">
        <f t="shared" si="6"/>
        <v>2.6824693431656499</v>
      </c>
      <c r="H26" s="25">
        <f t="shared" si="7"/>
        <v>1.777026678970195</v>
      </c>
      <c r="I26" s="26">
        <f t="shared" si="8"/>
        <v>0.64208703852350335</v>
      </c>
      <c r="J26" s="26">
        <f t="shared" si="8"/>
        <v>0.3579129614764967</v>
      </c>
      <c r="K26" s="22">
        <f t="shared" si="0"/>
        <v>0.64711600889584231</v>
      </c>
      <c r="L26" s="48">
        <f t="shared" si="1"/>
        <v>0.35288399110415769</v>
      </c>
      <c r="M26" s="23">
        <v>24287.928</v>
      </c>
      <c r="N26" s="24">
        <v>22712.069225545201</v>
      </c>
      <c r="O26" s="24">
        <v>13874.468000000001</v>
      </c>
      <c r="P26" s="24">
        <v>1716871.334</v>
      </c>
      <c r="Q26" s="24">
        <v>1515589.118</v>
      </c>
      <c r="R26" s="24">
        <v>75922.361214394798</v>
      </c>
    </row>
    <row r="27" spans="1:20" ht="15" x14ac:dyDescent="0.25">
      <c r="A27" s="20">
        <f>A26+1</f>
        <v>2019</v>
      </c>
      <c r="B27" s="21">
        <f t="shared" si="2"/>
        <v>0.99797710177191468</v>
      </c>
      <c r="C27" s="25">
        <f t="shared" si="3"/>
        <v>-1.2445632832876021</v>
      </c>
      <c r="D27" s="25">
        <f t="shared" si="4"/>
        <v>0.62411501165957617</v>
      </c>
      <c r="E27" s="25">
        <f t="shared" si="5"/>
        <v>1.2888347657471353</v>
      </c>
      <c r="F27" s="47">
        <f t="shared" si="5"/>
        <v>0.57984352920004301</v>
      </c>
      <c r="G27" s="25">
        <f t="shared" si="6"/>
        <v>1.9726232183792547</v>
      </c>
      <c r="H27" s="25">
        <f t="shared" si="7"/>
        <v>1.6727582987458689</v>
      </c>
      <c r="I27" s="26">
        <f t="shared" si="8"/>
        <v>0.65336084141099526</v>
      </c>
      <c r="J27" s="26">
        <f t="shared" si="8"/>
        <v>0.34663915858900474</v>
      </c>
      <c r="K27" s="22">
        <f t="shared" si="0"/>
        <v>0.65960567392614822</v>
      </c>
      <c r="L27" s="48">
        <f t="shared" si="1"/>
        <v>0.34039432607385178</v>
      </c>
      <c r="M27" s="23">
        <v>25590.537</v>
      </c>
      <c r="N27" s="24">
        <v>22854.2619204609</v>
      </c>
      <c r="O27" s="24">
        <v>14933.852999999999</v>
      </c>
      <c r="P27" s="24">
        <v>1751074.9820000001</v>
      </c>
      <c r="Q27" s="24">
        <v>1549219.0660000001</v>
      </c>
      <c r="R27" s="24">
        <v>77203.040282597402</v>
      </c>
    </row>
    <row r="28" spans="1:20" ht="15" x14ac:dyDescent="0.25">
      <c r="A28" s="20">
        <f t="shared" ref="A28:A30" si="9">A27+1</f>
        <v>2020</v>
      </c>
      <c r="B28" s="21">
        <v>1</v>
      </c>
      <c r="C28" s="25">
        <f t="shared" si="3"/>
        <v>0.20249470502112565</v>
      </c>
      <c r="D28" s="25">
        <f t="shared" si="4"/>
        <v>-3.5488955145359213</v>
      </c>
      <c r="E28" s="25">
        <f t="shared" si="5"/>
        <v>-4.1712249562757551</v>
      </c>
      <c r="F28" s="47">
        <f t="shared" si="5"/>
        <v>0.41983473671870808</v>
      </c>
      <c r="G28" s="25">
        <f t="shared" si="6"/>
        <v>-6.2501324669309355</v>
      </c>
      <c r="H28" s="25">
        <f t="shared" si="7"/>
        <v>1.2622123424259613</v>
      </c>
      <c r="I28" s="26">
        <f t="shared" si="8"/>
        <v>0.66738184804009337</v>
      </c>
      <c r="J28" s="26">
        <f t="shared" si="8"/>
        <v>0.33261815195990663</v>
      </c>
      <c r="K28" s="22">
        <f t="shared" si="0"/>
        <v>0.67515802215403853</v>
      </c>
      <c r="L28" s="48">
        <f t="shared" si="1"/>
        <v>0.32484197784596147</v>
      </c>
      <c r="M28" s="23">
        <v>25367.016</v>
      </c>
      <c r="N28" s="24">
        <v>22057.411373040799</v>
      </c>
      <c r="O28" s="24">
        <v>15015.54</v>
      </c>
      <c r="P28" s="24">
        <v>1644980.5330000001</v>
      </c>
      <c r="Q28" s="24">
        <v>1442204.6880000001</v>
      </c>
      <c r="R28" s="24">
        <v>78183.682459607706</v>
      </c>
    </row>
    <row r="29" spans="1:20" ht="15" x14ac:dyDescent="0.25">
      <c r="A29" s="20">
        <f t="shared" si="9"/>
        <v>2021</v>
      </c>
      <c r="B29" s="21">
        <f>B28*EXP(C29/100)</f>
        <v>1.0643742756149779</v>
      </c>
      <c r="C29" s="25">
        <f t="shared" si="3"/>
        <v>6.2387091861456927</v>
      </c>
      <c r="D29" s="25">
        <f t="shared" si="4"/>
        <v>7.0465731831648171</v>
      </c>
      <c r="E29" s="25">
        <f t="shared" si="5"/>
        <v>0.27374238898026237</v>
      </c>
      <c r="F29" s="47">
        <f t="shared" si="5"/>
        <v>0.53412160803886222</v>
      </c>
      <c r="G29" s="25">
        <f t="shared" si="6"/>
        <v>0.41386130101379592</v>
      </c>
      <c r="H29" s="25">
        <f t="shared" si="7"/>
        <v>1.5776047672254379</v>
      </c>
      <c r="I29" s="26">
        <f t="shared" si="8"/>
        <v>0.66143509506615428</v>
      </c>
      <c r="J29" s="26">
        <f t="shared" si="8"/>
        <v>0.33856490493384572</v>
      </c>
      <c r="K29" s="22">
        <f t="shared" si="0"/>
        <v>0.64771216797827003</v>
      </c>
      <c r="L29" s="48">
        <f t="shared" si="1"/>
        <v>0.35228783202172997</v>
      </c>
      <c r="M29" s="23">
        <v>28062.188999999998</v>
      </c>
      <c r="N29" s="24">
        <v>23667.774424365402</v>
      </c>
      <c r="O29" s="24">
        <v>15869.101000000001</v>
      </c>
      <c r="P29" s="24">
        <v>1651802.578</v>
      </c>
      <c r="Q29" s="24">
        <v>1442138.14</v>
      </c>
      <c r="R29" s="24">
        <v>79426.892648432098</v>
      </c>
    </row>
    <row r="30" spans="1:20" ht="15" x14ac:dyDescent="0.25">
      <c r="A30" s="20">
        <f t="shared" si="9"/>
        <v>2022</v>
      </c>
      <c r="B30" s="27">
        <f t="shared" ref="B30" si="10">B29*EXP(C30/100)</f>
        <v>1.0588502780126006</v>
      </c>
      <c r="C30" s="28">
        <f t="shared" si="3"/>
        <v>-0.52034157731456065</v>
      </c>
      <c r="D30" s="25">
        <f t="shared" si="4"/>
        <v>1.5803445058921284</v>
      </c>
      <c r="E30" s="28">
        <f t="shared" si="5"/>
        <v>1.4512520587406985</v>
      </c>
      <c r="F30" s="51">
        <f t="shared" si="5"/>
        <v>0.64943402446599052</v>
      </c>
      <c r="G30" s="25">
        <f t="shared" si="6"/>
        <v>2.2303029505996719</v>
      </c>
      <c r="H30" s="25">
        <f t="shared" si="7"/>
        <v>1.85922978347417</v>
      </c>
      <c r="I30" s="26">
        <f t="shared" si="8"/>
        <v>0.65069727785209341</v>
      </c>
      <c r="J30" s="26">
        <f t="shared" si="8"/>
        <v>0.34930272214790659</v>
      </c>
      <c r="K30" s="22">
        <f t="shared" si="0"/>
        <v>0.6536823877259168</v>
      </c>
      <c r="L30" s="48">
        <f t="shared" si="1"/>
        <v>0.3463176122740832</v>
      </c>
      <c r="M30" s="23">
        <v>31532.319</v>
      </c>
      <c r="N30" s="23">
        <v>24044.777927907999</v>
      </c>
      <c r="O30" s="23">
        <v>17872.232</v>
      </c>
      <c r="P30" s="24">
        <v>1689056.675</v>
      </c>
      <c r="Q30" s="24">
        <v>1464536.906</v>
      </c>
      <c r="R30" s="24">
        <v>80917.434454747796</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BC14-361C-4DB5-9A33-A757CD7F48FE}">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84</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0.53115128376278653</v>
      </c>
      <c r="L9" s="48">
        <f t="shared" ref="L9:L30" si="1">1-K9</f>
        <v>0.46884871623721347</v>
      </c>
      <c r="M9" s="23">
        <v>12644.081914</v>
      </c>
      <c r="N9" s="24">
        <v>19213.0554158909</v>
      </c>
      <c r="O9" s="24">
        <v>5365.2852700000003</v>
      </c>
      <c r="P9" s="24">
        <v>2508211.622</v>
      </c>
      <c r="Q9" s="24">
        <v>2003786.5530000001</v>
      </c>
      <c r="R9" s="24">
        <v>71867.937376296104</v>
      </c>
    </row>
    <row r="10" spans="1:18" ht="15" x14ac:dyDescent="0.25">
      <c r="A10" s="20">
        <v>2002</v>
      </c>
      <c r="B10" s="21">
        <f t="shared" ref="B10:B27" si="2">B11*EXP(-C11/100)</f>
        <v>0.635346820448764</v>
      </c>
      <c r="C10" s="25">
        <f t="shared" ref="C10:C30" si="3">D10-E10-F10</f>
        <v>4.444893758204004</v>
      </c>
      <c r="D10" s="25">
        <f t="shared" ref="D10:D30" si="4">(LN(N10)-LN(N9))*100</f>
        <v>6.5036900165829081</v>
      </c>
      <c r="E10" s="25">
        <f t="shared" ref="E10:F30" si="5">I10*G10</f>
        <v>1.0490327980849083</v>
      </c>
      <c r="F10" s="47">
        <f t="shared" si="5"/>
        <v>1.0097634602939953</v>
      </c>
      <c r="G10" s="25">
        <f t="shared" ref="G10:G30" si="6">(LN(P10)-LN(P9))*100</f>
        <v>1.962246379216559</v>
      </c>
      <c r="H10" s="25">
        <f t="shared" ref="H10:H30" si="7">(LN(R10)-LN(R9))*100</f>
        <v>2.169705679772882</v>
      </c>
      <c r="I10" s="26">
        <f t="shared" ref="I10:J30" si="8">(K10+K9)/2</f>
        <v>0.53460809467959991</v>
      </c>
      <c r="J10" s="26">
        <f t="shared" si="8"/>
        <v>0.46539190532040009</v>
      </c>
      <c r="K10" s="22">
        <f t="shared" si="0"/>
        <v>0.53806490559641329</v>
      </c>
      <c r="L10" s="48">
        <f t="shared" si="1"/>
        <v>0.46193509440358671</v>
      </c>
      <c r="M10" s="23">
        <v>13528.108435</v>
      </c>
      <c r="N10" s="24">
        <v>20504.142065344698</v>
      </c>
      <c r="O10" s="24">
        <v>5810.3120760000002</v>
      </c>
      <c r="P10" s="24">
        <v>2557914.9700000002</v>
      </c>
      <c r="Q10" s="24">
        <v>2041802.919</v>
      </c>
      <c r="R10" s="24">
        <v>73444.299463860894</v>
      </c>
    </row>
    <row r="11" spans="1:18" ht="15" x14ac:dyDescent="0.25">
      <c r="A11" s="20">
        <v>2003</v>
      </c>
      <c r="B11" s="21">
        <f t="shared" si="2"/>
        <v>0.68873391686645102</v>
      </c>
      <c r="C11" s="25">
        <f t="shared" si="3"/>
        <v>8.0683985273339083</v>
      </c>
      <c r="D11" s="25">
        <f t="shared" si="4"/>
        <v>10.031488546431255</v>
      </c>
      <c r="E11" s="25">
        <f t="shared" si="5"/>
        <v>0.69478514539153302</v>
      </c>
      <c r="F11" s="47">
        <f t="shared" si="5"/>
        <v>1.2683048737058131</v>
      </c>
      <c r="G11" s="25">
        <f t="shared" si="6"/>
        <v>1.2913196276414851</v>
      </c>
      <c r="H11" s="25">
        <f t="shared" si="7"/>
        <v>2.7455026087887191</v>
      </c>
      <c r="I11" s="26">
        <f t="shared" si="8"/>
        <v>0.53804273591079443</v>
      </c>
      <c r="J11" s="26">
        <f t="shared" si="8"/>
        <v>0.46195726408920557</v>
      </c>
      <c r="K11" s="22">
        <f t="shared" si="0"/>
        <v>0.53802056622517558</v>
      </c>
      <c r="L11" s="48">
        <f t="shared" si="1"/>
        <v>0.46197943377482442</v>
      </c>
      <c r="M11" s="23">
        <v>14942.930086</v>
      </c>
      <c r="N11" s="24">
        <v>22667.718121989699</v>
      </c>
      <c r="O11" s="24">
        <v>6443.0359440000002</v>
      </c>
      <c r="P11" s="24">
        <v>2591160.0159999998</v>
      </c>
      <c r="Q11" s="24">
        <v>2076587.0719999999</v>
      </c>
      <c r="R11" s="24">
        <v>75488.650057075996</v>
      </c>
    </row>
    <row r="12" spans="1:18" ht="15" x14ac:dyDescent="0.25">
      <c r="A12" s="20">
        <v>2004</v>
      </c>
      <c r="B12" s="21">
        <f t="shared" si="2"/>
        <v>0.70704019215798775</v>
      </c>
      <c r="C12" s="25">
        <f t="shared" si="3"/>
        <v>2.6232504158097627</v>
      </c>
      <c r="D12" s="25">
        <f t="shared" si="4"/>
        <v>6.2993906447900372</v>
      </c>
      <c r="E12" s="25">
        <f t="shared" si="5"/>
        <v>2.0977582554933161</v>
      </c>
      <c r="F12" s="47">
        <f t="shared" si="5"/>
        <v>1.5783819734869584</v>
      </c>
      <c r="G12" s="25">
        <f t="shared" si="6"/>
        <v>3.8783953531305926</v>
      </c>
      <c r="H12" s="25">
        <f t="shared" si="7"/>
        <v>3.4378646382014821</v>
      </c>
      <c r="I12" s="26">
        <f t="shared" si="8"/>
        <v>0.54088303653727088</v>
      </c>
      <c r="J12" s="26">
        <f t="shared" si="8"/>
        <v>0.45911696346272912</v>
      </c>
      <c r="K12" s="22">
        <f t="shared" si="0"/>
        <v>0.54374550684936618</v>
      </c>
      <c r="L12" s="48">
        <f t="shared" si="1"/>
        <v>0.45625449315063382</v>
      </c>
      <c r="M12" s="23">
        <v>16498.578105000001</v>
      </c>
      <c r="N12" s="24">
        <v>24141.5810756186</v>
      </c>
      <c r="O12" s="24">
        <v>7310.087974</v>
      </c>
      <c r="P12" s="24">
        <v>2693629.6910000001</v>
      </c>
      <c r="Q12" s="24">
        <v>2194917.9780000001</v>
      </c>
      <c r="R12" s="24">
        <v>78128.972984598702</v>
      </c>
    </row>
    <row r="13" spans="1:18" ht="15" x14ac:dyDescent="0.25">
      <c r="A13" s="20">
        <v>2005</v>
      </c>
      <c r="B13" s="21">
        <f t="shared" si="2"/>
        <v>0.74513280081018962</v>
      </c>
      <c r="C13" s="25">
        <f t="shared" si="3"/>
        <v>5.2474945454391992</v>
      </c>
      <c r="D13" s="25">
        <f t="shared" si="4"/>
        <v>7.4471334759850905</v>
      </c>
      <c r="E13" s="25">
        <f t="shared" si="5"/>
        <v>0.44818954444302006</v>
      </c>
      <c r="F13" s="47">
        <f t="shared" si="5"/>
        <v>1.751449386102871</v>
      </c>
      <c r="G13" s="25">
        <f t="shared" si="6"/>
        <v>0.82530029502709823</v>
      </c>
      <c r="H13" s="25">
        <f t="shared" si="7"/>
        <v>3.8330164092032604</v>
      </c>
      <c r="I13" s="26">
        <f t="shared" si="8"/>
        <v>0.54306238243657001</v>
      </c>
      <c r="J13" s="26">
        <f t="shared" si="8"/>
        <v>0.45693761756342999</v>
      </c>
      <c r="K13" s="22">
        <f t="shared" si="0"/>
        <v>0.54237925802377385</v>
      </c>
      <c r="L13" s="48">
        <f t="shared" si="1"/>
        <v>0.45762074197622615</v>
      </c>
      <c r="M13" s="23">
        <v>19006.627017999999</v>
      </c>
      <c r="N13" s="24">
        <v>26008.074418698201</v>
      </c>
      <c r="O13" s="24">
        <v>8520.0204300000005</v>
      </c>
      <c r="P13" s="24">
        <v>2715952.2119999998</v>
      </c>
      <c r="Q13" s="24">
        <v>2244681.0249999999</v>
      </c>
      <c r="R13" s="24">
        <v>81181.803323947606</v>
      </c>
    </row>
    <row r="14" spans="1:18" ht="15" x14ac:dyDescent="0.25">
      <c r="A14" s="20">
        <v>2006</v>
      </c>
      <c r="B14" s="21">
        <f t="shared" si="2"/>
        <v>0.78669946761168785</v>
      </c>
      <c r="C14" s="25">
        <f t="shared" si="3"/>
        <v>5.4283845983954642</v>
      </c>
      <c r="D14" s="25">
        <f t="shared" si="4"/>
        <v>7.1347918413152911</v>
      </c>
      <c r="E14" s="25">
        <f t="shared" si="5"/>
        <v>-0.44455387420451564</v>
      </c>
      <c r="F14" s="47">
        <f t="shared" si="5"/>
        <v>2.1509611171243432</v>
      </c>
      <c r="G14" s="25">
        <f t="shared" si="6"/>
        <v>-0.79806848519670126</v>
      </c>
      <c r="H14" s="25">
        <f t="shared" si="7"/>
        <v>4.8558510089371509</v>
      </c>
      <c r="I14" s="26">
        <f t="shared" si="8"/>
        <v>0.55703724987329339</v>
      </c>
      <c r="J14" s="26">
        <f t="shared" si="8"/>
        <v>0.44296275012670655</v>
      </c>
      <c r="K14" s="22">
        <f t="shared" si="0"/>
        <v>0.57169524172281305</v>
      </c>
      <c r="L14" s="48">
        <f t="shared" si="1"/>
        <v>0.42830475827718695</v>
      </c>
      <c r="M14" s="23">
        <v>21725.410500000002</v>
      </c>
      <c r="N14" s="24">
        <v>27931.496608559501</v>
      </c>
      <c r="O14" s="24">
        <v>10277.301262000001</v>
      </c>
      <c r="P14" s="24">
        <v>2694363.3149999999</v>
      </c>
      <c r="Q14" s="24">
        <v>2229475.352</v>
      </c>
      <c r="R14" s="24">
        <v>85221.149376370595</v>
      </c>
    </row>
    <row r="15" spans="1:18" ht="15" x14ac:dyDescent="0.25">
      <c r="A15" s="20">
        <v>2007</v>
      </c>
      <c r="B15" s="21">
        <f t="shared" si="2"/>
        <v>0.83381223174122887</v>
      </c>
      <c r="C15" s="25">
        <f t="shared" si="3"/>
        <v>5.816193061460047</v>
      </c>
      <c r="D15" s="25">
        <f t="shared" si="4"/>
        <v>10.506183169707128</v>
      </c>
      <c r="E15" s="25">
        <f t="shared" si="5"/>
        <v>2.0270555395416627</v>
      </c>
      <c r="F15" s="47">
        <f t="shared" si="5"/>
        <v>2.6629345687054178</v>
      </c>
      <c r="G15" s="25">
        <f t="shared" si="6"/>
        <v>3.5945250529211492</v>
      </c>
      <c r="H15" s="25">
        <f t="shared" si="7"/>
        <v>6.1066482887211393</v>
      </c>
      <c r="I15" s="26">
        <f t="shared" si="8"/>
        <v>0.56392861635345759</v>
      </c>
      <c r="J15" s="26">
        <f t="shared" si="8"/>
        <v>0.43607138364654241</v>
      </c>
      <c r="K15" s="22">
        <f t="shared" si="0"/>
        <v>0.55616199098410213</v>
      </c>
      <c r="L15" s="48">
        <f t="shared" si="1"/>
        <v>0.44383800901589787</v>
      </c>
      <c r="M15" s="23">
        <v>26061.866408000002</v>
      </c>
      <c r="N15" s="24">
        <v>31025.727960347202</v>
      </c>
      <c r="O15" s="24">
        <v>12325.897596000001</v>
      </c>
      <c r="P15" s="24">
        <v>2792974.5649999999</v>
      </c>
      <c r="Q15" s="24">
        <v>2375082.5920000002</v>
      </c>
      <c r="R15" s="24">
        <v>90587.489455580493</v>
      </c>
    </row>
    <row r="16" spans="1:18" ht="15" x14ac:dyDescent="0.25">
      <c r="A16" s="20">
        <v>2008</v>
      </c>
      <c r="B16" s="21">
        <f t="shared" si="2"/>
        <v>0.83522798023940614</v>
      </c>
      <c r="C16" s="25">
        <f t="shared" si="3"/>
        <v>0.16964825982798004</v>
      </c>
      <c r="D16" s="25">
        <f t="shared" si="4"/>
        <v>2.5662488884357515</v>
      </c>
      <c r="E16" s="25">
        <f t="shared" si="5"/>
        <v>0.22639601685375518</v>
      </c>
      <c r="F16" s="47">
        <f t="shared" si="5"/>
        <v>2.1702046117540164</v>
      </c>
      <c r="G16" s="25">
        <f t="shared" si="6"/>
        <v>0.40507103974913861</v>
      </c>
      <c r="H16" s="25">
        <f t="shared" si="7"/>
        <v>4.9200331658347807</v>
      </c>
      <c r="I16" s="26">
        <f t="shared" si="8"/>
        <v>0.55890447511123664</v>
      </c>
      <c r="J16" s="26">
        <f t="shared" si="8"/>
        <v>0.4410955248887633</v>
      </c>
      <c r="K16" s="22">
        <f t="shared" si="0"/>
        <v>0.56164695923837127</v>
      </c>
      <c r="L16" s="48">
        <f t="shared" si="1"/>
        <v>0.43835304076162873</v>
      </c>
      <c r="M16" s="23">
        <v>29312.997383999998</v>
      </c>
      <c r="N16" s="24">
        <v>31832.2295173356</v>
      </c>
      <c r="O16" s="24">
        <v>14355.067827000001</v>
      </c>
      <c r="P16" s="24">
        <v>2804311.0410000002</v>
      </c>
      <c r="Q16" s="24">
        <v>2445162.8539999998</v>
      </c>
      <c r="R16" s="24">
        <v>95155.885775790099</v>
      </c>
    </row>
    <row r="17" spans="1:20" ht="15" x14ac:dyDescent="0.25">
      <c r="A17" s="20">
        <v>2009</v>
      </c>
      <c r="B17" s="21">
        <f t="shared" si="2"/>
        <v>0.75660936442125548</v>
      </c>
      <c r="C17" s="25">
        <f t="shared" si="3"/>
        <v>-9.8857628711780734</v>
      </c>
      <c r="D17" s="25">
        <f t="shared" si="4"/>
        <v>-16.062203225090244</v>
      </c>
      <c r="E17" s="25">
        <f t="shared" si="5"/>
        <v>-6.5668566486782689</v>
      </c>
      <c r="F17" s="47">
        <f t="shared" si="5"/>
        <v>0.39041629476609807</v>
      </c>
      <c r="G17" s="25">
        <f t="shared" si="6"/>
        <v>-11.61907759444798</v>
      </c>
      <c r="H17" s="25">
        <f t="shared" si="7"/>
        <v>0.89787783862114168</v>
      </c>
      <c r="I17" s="26">
        <f t="shared" si="8"/>
        <v>0.5651788272604491</v>
      </c>
      <c r="J17" s="26">
        <f t="shared" si="8"/>
        <v>0.4348211727395509</v>
      </c>
      <c r="K17" s="22">
        <f t="shared" si="0"/>
        <v>0.56871069528252693</v>
      </c>
      <c r="L17" s="48">
        <f t="shared" si="1"/>
        <v>0.43128930471747307</v>
      </c>
      <c r="M17" s="23">
        <v>24262.554931999999</v>
      </c>
      <c r="N17" s="24">
        <v>27108.768898001701</v>
      </c>
      <c r="O17" s="24">
        <v>11986.827178</v>
      </c>
      <c r="P17" s="24">
        <v>2496693.1460000002</v>
      </c>
      <c r="Q17" s="24">
        <v>2168909.7719999999</v>
      </c>
      <c r="R17" s="24">
        <v>96014.116552526204</v>
      </c>
    </row>
    <row r="18" spans="1:20" ht="15" x14ac:dyDescent="0.25">
      <c r="A18" s="20">
        <v>2010</v>
      </c>
      <c r="B18" s="21">
        <f t="shared" si="2"/>
        <v>0.77583732217314993</v>
      </c>
      <c r="C18" s="25">
        <f t="shared" si="3"/>
        <v>2.50957727316966</v>
      </c>
      <c r="D18" s="25">
        <f t="shared" si="4"/>
        <v>0.42628936473256829</v>
      </c>
      <c r="E18" s="25">
        <f t="shared" si="5"/>
        <v>-2.122809831867992</v>
      </c>
      <c r="F18" s="47">
        <f t="shared" si="5"/>
        <v>3.9521923430900295E-2</v>
      </c>
      <c r="G18" s="25">
        <f t="shared" si="6"/>
        <v>-3.8763933345395074</v>
      </c>
      <c r="H18" s="25">
        <f t="shared" si="7"/>
        <v>8.7365397953576007E-2</v>
      </c>
      <c r="I18" s="26">
        <f t="shared" si="8"/>
        <v>0.54762498246844427</v>
      </c>
      <c r="J18" s="26">
        <f t="shared" si="8"/>
        <v>0.45237501753155579</v>
      </c>
      <c r="K18" s="22">
        <f t="shared" si="0"/>
        <v>0.52653926965436149</v>
      </c>
      <c r="L18" s="48">
        <f t="shared" si="1"/>
        <v>0.47346073034563851</v>
      </c>
      <c r="M18" s="23">
        <v>24707.510725</v>
      </c>
      <c r="N18" s="24">
        <v>27224.577360929201</v>
      </c>
      <c r="O18" s="24">
        <v>11473.122013</v>
      </c>
      <c r="P18" s="24">
        <v>2401763.3130000001</v>
      </c>
      <c r="Q18" s="24">
        <v>2118127.3089999999</v>
      </c>
      <c r="R18" s="24">
        <v>96098.036320625906</v>
      </c>
    </row>
    <row r="19" spans="1:20" ht="15" x14ac:dyDescent="0.25">
      <c r="A19" s="20">
        <v>2011</v>
      </c>
      <c r="B19" s="21">
        <f t="shared" si="2"/>
        <v>0.82092849481475538</v>
      </c>
      <c r="C19" s="25">
        <f t="shared" si="3"/>
        <v>5.6493148596059628</v>
      </c>
      <c r="D19" s="25">
        <f t="shared" si="4"/>
        <v>6.1317432292584684</v>
      </c>
      <c r="E19" s="25">
        <f t="shared" si="5"/>
        <v>-0.40039325713180346</v>
      </c>
      <c r="F19" s="47">
        <f t="shared" si="5"/>
        <v>0.88282162678430864</v>
      </c>
      <c r="G19" s="25">
        <f t="shared" si="6"/>
        <v>-0.77961714720053976</v>
      </c>
      <c r="H19" s="25">
        <f t="shared" si="7"/>
        <v>1.8149248931436546</v>
      </c>
      <c r="I19" s="26">
        <f t="shared" si="8"/>
        <v>0.51357677107223876</v>
      </c>
      <c r="J19" s="26">
        <f t="shared" si="8"/>
        <v>0.4864232289277613</v>
      </c>
      <c r="K19" s="22">
        <f t="shared" si="0"/>
        <v>0.50061427249011592</v>
      </c>
      <c r="L19" s="48">
        <f t="shared" si="1"/>
        <v>0.49938572750988408</v>
      </c>
      <c r="M19" s="23">
        <v>27803.806655</v>
      </c>
      <c r="N19" s="24">
        <v>28946.1607040903</v>
      </c>
      <c r="O19" s="24">
        <v>12286.980312</v>
      </c>
      <c r="P19" s="24">
        <v>2383111.5550000002</v>
      </c>
      <c r="Q19" s="24">
        <v>2103691.4789999998</v>
      </c>
      <c r="R19" s="24">
        <v>97858.066807474403</v>
      </c>
    </row>
    <row r="20" spans="1:20" ht="15" x14ac:dyDescent="0.25">
      <c r="A20" s="20">
        <v>2012</v>
      </c>
      <c r="B20" s="21">
        <f t="shared" si="2"/>
        <v>0.84311630725568842</v>
      </c>
      <c r="C20" s="25">
        <f t="shared" si="3"/>
        <v>2.666890633225111</v>
      </c>
      <c r="D20" s="25">
        <f t="shared" si="4"/>
        <v>4.2895728985685722</v>
      </c>
      <c r="E20" s="25">
        <f t="shared" si="5"/>
        <v>0.87304296663257885</v>
      </c>
      <c r="F20" s="47">
        <f t="shared" si="5"/>
        <v>0.7496392987108822</v>
      </c>
      <c r="G20" s="25">
        <f t="shared" si="6"/>
        <v>1.7550600599006927</v>
      </c>
      <c r="H20" s="25">
        <f t="shared" si="7"/>
        <v>1.4916513552186927</v>
      </c>
      <c r="I20" s="26">
        <f t="shared" si="8"/>
        <v>0.49744335625869041</v>
      </c>
      <c r="J20" s="26">
        <f t="shared" si="8"/>
        <v>0.50255664374130959</v>
      </c>
      <c r="K20" s="22">
        <f t="shared" si="0"/>
        <v>0.49427244002726489</v>
      </c>
      <c r="L20" s="48">
        <f t="shared" si="1"/>
        <v>0.50572755997273511</v>
      </c>
      <c r="M20" s="23">
        <v>29870.67973</v>
      </c>
      <c r="N20" s="24">
        <v>30214.843372809399</v>
      </c>
      <c r="O20" s="24">
        <v>12973.378264000001</v>
      </c>
      <c r="P20" s="24">
        <v>2425305.7779999999</v>
      </c>
      <c r="Q20" s="24">
        <v>2131120.8670000001</v>
      </c>
      <c r="R20" s="24">
        <v>99328.709147043104</v>
      </c>
    </row>
    <row r="21" spans="1:20" ht="15" x14ac:dyDescent="0.25">
      <c r="A21" s="20">
        <v>2013</v>
      </c>
      <c r="B21" s="21">
        <f t="shared" si="2"/>
        <v>0.86716881508322574</v>
      </c>
      <c r="C21" s="25">
        <f t="shared" si="3"/>
        <v>2.8128752812082345</v>
      </c>
      <c r="D21" s="25">
        <f t="shared" si="4"/>
        <v>3.9671721149927563</v>
      </c>
      <c r="E21" s="25">
        <f t="shared" si="5"/>
        <v>0.2362979805009032</v>
      </c>
      <c r="F21" s="47">
        <f t="shared" si="5"/>
        <v>0.91799885328361897</v>
      </c>
      <c r="G21" s="25">
        <f t="shared" si="6"/>
        <v>0.47453315512573369</v>
      </c>
      <c r="H21" s="25">
        <f t="shared" si="7"/>
        <v>1.8285330574567382</v>
      </c>
      <c r="I21" s="26">
        <f t="shared" si="8"/>
        <v>0.49795884217677688</v>
      </c>
      <c r="J21" s="26">
        <f t="shared" si="8"/>
        <v>0.50204115782322312</v>
      </c>
      <c r="K21" s="22">
        <f t="shared" si="0"/>
        <v>0.50164524432628887</v>
      </c>
      <c r="L21" s="48">
        <f t="shared" si="1"/>
        <v>0.49835475567371113</v>
      </c>
      <c r="M21" s="23">
        <v>31414.941801000001</v>
      </c>
      <c r="N21" s="24">
        <v>31437.612525512599</v>
      </c>
      <c r="O21" s="24">
        <v>13746.86829</v>
      </c>
      <c r="P21" s="24">
        <v>2436842.0079999999</v>
      </c>
      <c r="Q21" s="24">
        <v>2125681.4640000002</v>
      </c>
      <c r="R21" s="24">
        <v>101161.674547259</v>
      </c>
    </row>
    <row r="22" spans="1:20" ht="15" x14ac:dyDescent="0.25">
      <c r="A22" s="20">
        <v>2014</v>
      </c>
      <c r="B22" s="21">
        <f t="shared" si="2"/>
        <v>0.88386776585727078</v>
      </c>
      <c r="C22" s="25">
        <f t="shared" si="3"/>
        <v>1.9073795742184054</v>
      </c>
      <c r="D22" s="25">
        <f t="shared" si="4"/>
        <v>3.7031227964567037</v>
      </c>
      <c r="E22" s="25">
        <f t="shared" si="5"/>
        <v>0.7914541732124547</v>
      </c>
      <c r="F22" s="47">
        <f t="shared" si="5"/>
        <v>1.0042890490258434</v>
      </c>
      <c r="G22" s="25">
        <f t="shared" si="6"/>
        <v>1.5602479773081157</v>
      </c>
      <c r="H22" s="25">
        <f t="shared" si="7"/>
        <v>2.0381797421201497</v>
      </c>
      <c r="I22" s="26">
        <f t="shared" si="8"/>
        <v>0.50726178448758175</v>
      </c>
      <c r="J22" s="26">
        <f t="shared" si="8"/>
        <v>0.4927382155124182</v>
      </c>
      <c r="K22" s="22">
        <f t="shared" si="0"/>
        <v>0.51287832464887473</v>
      </c>
      <c r="L22" s="48">
        <f t="shared" si="1"/>
        <v>0.48712167535112527</v>
      </c>
      <c r="M22" s="23">
        <v>32737.950238000001</v>
      </c>
      <c r="N22" s="24">
        <v>32623.609862564601</v>
      </c>
      <c r="O22" s="24">
        <v>14619.044266999999</v>
      </c>
      <c r="P22" s="24">
        <v>2475160.9440000001</v>
      </c>
      <c r="Q22" s="24">
        <v>2155046.2510000002</v>
      </c>
      <c r="R22" s="24">
        <v>103244.686963706</v>
      </c>
    </row>
    <row r="23" spans="1:20" ht="15" x14ac:dyDescent="0.25">
      <c r="A23" s="20">
        <v>2015</v>
      </c>
      <c r="B23" s="21">
        <f t="shared" si="2"/>
        <v>0.88645849973836521</v>
      </c>
      <c r="C23" s="25">
        <f t="shared" si="3"/>
        <v>0.29268454983537762</v>
      </c>
      <c r="D23" s="25">
        <f t="shared" si="4"/>
        <v>2.7934243642821599</v>
      </c>
      <c r="E23" s="25">
        <f t="shared" si="5"/>
        <v>1.4679502025525466</v>
      </c>
      <c r="F23" s="47">
        <f t="shared" si="5"/>
        <v>1.0327896118942357</v>
      </c>
      <c r="G23" s="25">
        <f t="shared" si="6"/>
        <v>2.7943738287007136</v>
      </c>
      <c r="H23" s="25">
        <f t="shared" si="7"/>
        <v>2.1757756761404679</v>
      </c>
      <c r="I23" s="26">
        <f t="shared" si="8"/>
        <v>0.52532348659845995</v>
      </c>
      <c r="J23" s="26">
        <f t="shared" si="8"/>
        <v>0.47467651340154005</v>
      </c>
      <c r="K23" s="22">
        <f t="shared" si="0"/>
        <v>0.53776864854804518</v>
      </c>
      <c r="L23" s="48">
        <f t="shared" si="1"/>
        <v>0.46223135145195482</v>
      </c>
      <c r="M23" s="23">
        <v>33547.773541000002</v>
      </c>
      <c r="N23" s="24">
        <v>33547.773541000002</v>
      </c>
      <c r="O23" s="24">
        <v>15657.827609</v>
      </c>
      <c r="P23" s="24">
        <v>2545301.6260000002</v>
      </c>
      <c r="Q23" s="24">
        <v>2209080.6919999998</v>
      </c>
      <c r="R23" s="24">
        <v>105515.675973</v>
      </c>
    </row>
    <row r="24" spans="1:20" ht="15" x14ac:dyDescent="0.25">
      <c r="A24" s="20">
        <v>2016</v>
      </c>
      <c r="B24" s="21">
        <f t="shared" si="2"/>
        <v>0.88382339419739409</v>
      </c>
      <c r="C24" s="25">
        <f t="shared" si="3"/>
        <v>-0.29770484533593855</v>
      </c>
      <c r="D24" s="25">
        <f t="shared" si="4"/>
        <v>2.6368496190745105</v>
      </c>
      <c r="E24" s="25">
        <f t="shared" si="5"/>
        <v>1.9205322705379417</v>
      </c>
      <c r="F24" s="47">
        <f t="shared" si="5"/>
        <v>1.0140221938725074</v>
      </c>
      <c r="G24" s="25">
        <f t="shared" si="6"/>
        <v>3.493282167828049</v>
      </c>
      <c r="H24" s="25">
        <f t="shared" si="7"/>
        <v>2.2522752369846799</v>
      </c>
      <c r="I24" s="26">
        <f t="shared" si="8"/>
        <v>0.54977874052814757</v>
      </c>
      <c r="J24" s="26">
        <f t="shared" si="8"/>
        <v>0.45022125947185238</v>
      </c>
      <c r="K24" s="22">
        <f t="shared" si="0"/>
        <v>0.56178883250825007</v>
      </c>
      <c r="L24" s="48">
        <f t="shared" si="1"/>
        <v>0.43821116749174993</v>
      </c>
      <c r="M24" s="23">
        <v>34789.712861</v>
      </c>
      <c r="N24" s="24">
        <v>34444.143912779196</v>
      </c>
      <c r="O24" s="24">
        <v>17011.224865</v>
      </c>
      <c r="P24" s="24">
        <v>2635787.4550000001</v>
      </c>
      <c r="Q24" s="24">
        <v>2294151.139</v>
      </c>
      <c r="R24" s="24">
        <v>107919.144172999</v>
      </c>
    </row>
    <row r="25" spans="1:20" ht="15" x14ac:dyDescent="0.25">
      <c r="A25" s="20">
        <v>2017</v>
      </c>
      <c r="B25" s="21">
        <f t="shared" si="2"/>
        <v>0.92885304327769813</v>
      </c>
      <c r="C25" s="25">
        <f t="shared" si="3"/>
        <v>4.9693275865903299</v>
      </c>
      <c r="D25" s="25">
        <f t="shared" si="4"/>
        <v>4.5090409552042132</v>
      </c>
      <c r="E25" s="25">
        <f t="shared" si="5"/>
        <v>-1.658306094431542</v>
      </c>
      <c r="F25" s="47">
        <f t="shared" si="5"/>
        <v>1.1980194630454253</v>
      </c>
      <c r="G25" s="25">
        <f t="shared" si="6"/>
        <v>-2.9512595956589394</v>
      </c>
      <c r="H25" s="25">
        <f t="shared" si="7"/>
        <v>2.7345658082387203</v>
      </c>
      <c r="I25" s="26">
        <f t="shared" si="8"/>
        <v>0.56189773914527008</v>
      </c>
      <c r="J25" s="26">
        <f t="shared" si="8"/>
        <v>0.43810226085472992</v>
      </c>
      <c r="K25" s="22">
        <f t="shared" si="0"/>
        <v>0.56200664578229009</v>
      </c>
      <c r="L25" s="48">
        <f t="shared" si="1"/>
        <v>0.43799335421770991</v>
      </c>
      <c r="M25" s="23">
        <v>37823.818605</v>
      </c>
      <c r="N25" s="24">
        <v>36032.791704769603</v>
      </c>
      <c r="O25" s="24">
        <v>18560.248971000001</v>
      </c>
      <c r="P25" s="24">
        <v>2559135.1919999998</v>
      </c>
      <c r="Q25" s="24">
        <v>2234447.7489999998</v>
      </c>
      <c r="R25" s="24">
        <v>110910.98467837799</v>
      </c>
    </row>
    <row r="26" spans="1:20" ht="15" x14ac:dyDescent="0.25">
      <c r="A26" s="20">
        <v>2018</v>
      </c>
      <c r="B26" s="21">
        <f t="shared" si="2"/>
        <v>0.95129412532697444</v>
      </c>
      <c r="C26" s="25">
        <f t="shared" si="3"/>
        <v>2.3872756552459196</v>
      </c>
      <c r="D26" s="25">
        <f t="shared" si="4"/>
        <v>4.8012419864374323</v>
      </c>
      <c r="E26" s="25">
        <f t="shared" si="5"/>
        <v>1.0113549421133374</v>
      </c>
      <c r="F26" s="47">
        <f t="shared" si="5"/>
        <v>1.4026113890781755</v>
      </c>
      <c r="G26" s="25">
        <f t="shared" si="6"/>
        <v>1.795417138422728</v>
      </c>
      <c r="H26" s="25">
        <f t="shared" si="7"/>
        <v>3.2118275034193289</v>
      </c>
      <c r="I26" s="26">
        <f t="shared" si="8"/>
        <v>0.56329803279131652</v>
      </c>
      <c r="J26" s="26">
        <f t="shared" si="8"/>
        <v>0.43670196720868348</v>
      </c>
      <c r="K26" s="22">
        <f t="shared" si="0"/>
        <v>0.56458941980034294</v>
      </c>
      <c r="L26" s="48">
        <f t="shared" si="1"/>
        <v>0.43541058019965706</v>
      </c>
      <c r="M26" s="23">
        <v>41189.132548000001</v>
      </c>
      <c r="N26" s="24">
        <v>37805.017216334003</v>
      </c>
      <c r="O26" s="24">
        <v>20382.252151000001</v>
      </c>
      <c r="P26" s="24">
        <v>2605497.2949999999</v>
      </c>
      <c r="Q26" s="24">
        <v>2283638.8119999999</v>
      </c>
      <c r="R26" s="24">
        <v>114531.078577233</v>
      </c>
    </row>
    <row r="27" spans="1:20" ht="15" x14ac:dyDescent="0.25">
      <c r="A27" s="20">
        <f>A26+1</f>
        <v>2019</v>
      </c>
      <c r="B27" s="21">
        <f t="shared" si="2"/>
        <v>0.97808534050750229</v>
      </c>
      <c r="C27" s="25">
        <f t="shared" si="3"/>
        <v>2.7773631682914912</v>
      </c>
      <c r="D27" s="25">
        <f t="shared" si="4"/>
        <v>4.5712594317373956</v>
      </c>
      <c r="E27" s="25">
        <f t="shared" si="5"/>
        <v>0.35529119611299387</v>
      </c>
      <c r="F27" s="47">
        <f t="shared" si="5"/>
        <v>1.4386050673329107</v>
      </c>
      <c r="G27" s="25">
        <f t="shared" si="6"/>
        <v>0.61776465035698891</v>
      </c>
      <c r="H27" s="25">
        <f t="shared" si="7"/>
        <v>3.3859399571758431</v>
      </c>
      <c r="I27" s="26">
        <f t="shared" si="8"/>
        <v>0.57512386943422711</v>
      </c>
      <c r="J27" s="26">
        <f t="shared" si="8"/>
        <v>0.42487613056577284</v>
      </c>
      <c r="K27" s="22">
        <f t="shared" si="0"/>
        <v>0.58565831906811139</v>
      </c>
      <c r="L27" s="48">
        <f t="shared" si="1"/>
        <v>0.41434168093188861</v>
      </c>
      <c r="M27" s="23">
        <v>44098.426034999997</v>
      </c>
      <c r="N27" s="24">
        <v>39573.290909748503</v>
      </c>
      <c r="O27" s="24">
        <v>22644.616538999999</v>
      </c>
      <c r="P27" s="24">
        <v>2621642.9559999998</v>
      </c>
      <c r="Q27" s="24">
        <v>2298640.7930000001</v>
      </c>
      <c r="R27" s="24">
        <v>118475.432020401</v>
      </c>
    </row>
    <row r="28" spans="1:20" ht="15" x14ac:dyDescent="0.25">
      <c r="A28" s="20">
        <f t="shared" ref="A28:A30" si="9">A27+1</f>
        <v>2020</v>
      </c>
      <c r="B28" s="21">
        <v>1</v>
      </c>
      <c r="C28" s="25">
        <f t="shared" si="3"/>
        <v>2.2158352521652445</v>
      </c>
      <c r="D28" s="25">
        <f t="shared" si="4"/>
        <v>4.2805820778824E-2</v>
      </c>
      <c r="E28" s="25">
        <f t="shared" si="5"/>
        <v>-3.4733848476507854</v>
      </c>
      <c r="F28" s="47">
        <f t="shared" si="5"/>
        <v>1.3003554162643649</v>
      </c>
      <c r="G28" s="25">
        <f t="shared" si="6"/>
        <v>-5.8631617945529513</v>
      </c>
      <c r="H28" s="25">
        <f t="shared" si="7"/>
        <v>3.1903371592333585</v>
      </c>
      <c r="I28" s="26">
        <f t="shared" si="8"/>
        <v>0.59240815269291414</v>
      </c>
      <c r="J28" s="26">
        <f t="shared" si="8"/>
        <v>0.40759184730708581</v>
      </c>
      <c r="K28" s="22">
        <f t="shared" si="0"/>
        <v>0.599157986317717</v>
      </c>
      <c r="L28" s="48">
        <f t="shared" si="1"/>
        <v>0.400842013682283</v>
      </c>
      <c r="M28" s="23">
        <v>44904.952356000002</v>
      </c>
      <c r="N28" s="24">
        <v>39590.234207831803</v>
      </c>
      <c r="O28" s="24">
        <v>23825.721629</v>
      </c>
      <c r="P28" s="24">
        <v>2472351.1630000002</v>
      </c>
      <c r="Q28" s="24">
        <v>2189377.3820000002</v>
      </c>
      <c r="R28" s="24">
        <v>122316.137724976</v>
      </c>
    </row>
    <row r="29" spans="1:20" ht="15" x14ac:dyDescent="0.25">
      <c r="A29" s="20">
        <f t="shared" si="9"/>
        <v>2021</v>
      </c>
      <c r="B29" s="21">
        <f>B28*EXP(C29/100)</f>
        <v>1.0304274952131682</v>
      </c>
      <c r="C29" s="25">
        <f t="shared" si="3"/>
        <v>2.9973760030930912</v>
      </c>
      <c r="D29" s="25">
        <f t="shared" si="4"/>
        <v>6.1847551614624408</v>
      </c>
      <c r="E29" s="25">
        <f t="shared" si="5"/>
        <v>1.6601586976548903</v>
      </c>
      <c r="F29" s="47">
        <f t="shared" si="5"/>
        <v>1.5272204607144595</v>
      </c>
      <c r="G29" s="25">
        <f t="shared" si="6"/>
        <v>2.7629469246173599</v>
      </c>
      <c r="H29" s="25">
        <f t="shared" si="7"/>
        <v>3.8263276411340641</v>
      </c>
      <c r="I29" s="26">
        <f t="shared" si="8"/>
        <v>0.60086521491353129</v>
      </c>
      <c r="J29" s="26">
        <f t="shared" si="8"/>
        <v>0.39913478508646871</v>
      </c>
      <c r="K29" s="22">
        <f t="shared" si="0"/>
        <v>0.60257244350934558</v>
      </c>
      <c r="L29" s="48">
        <f t="shared" si="1"/>
        <v>0.39742755649065442</v>
      </c>
      <c r="M29" s="23">
        <v>50519.794866999997</v>
      </c>
      <c r="N29" s="24">
        <v>42116.097395625802</v>
      </c>
      <c r="O29" s="24">
        <v>26970.456514000001</v>
      </c>
      <c r="P29" s="24">
        <v>2541613.3459999999</v>
      </c>
      <c r="Q29" s="24">
        <v>2251785.0660000001</v>
      </c>
      <c r="R29" s="24">
        <v>127087.047157605</v>
      </c>
    </row>
    <row r="30" spans="1:20" ht="15" x14ac:dyDescent="0.25">
      <c r="A30" s="20">
        <f t="shared" si="9"/>
        <v>2022</v>
      </c>
      <c r="B30" s="27">
        <f t="shared" ref="B30" si="10">B29*EXP(C30/100)</f>
        <v>1.0089128815526678</v>
      </c>
      <c r="C30" s="28">
        <f t="shared" si="3"/>
        <v>-2.1100363762047714</v>
      </c>
      <c r="D30" s="25">
        <f t="shared" si="4"/>
        <v>2.5058649935632005</v>
      </c>
      <c r="E30" s="28">
        <f t="shared" si="5"/>
        <v>3.0694068511420123</v>
      </c>
      <c r="F30" s="51">
        <f t="shared" si="5"/>
        <v>1.5464945186259593</v>
      </c>
      <c r="G30" s="25">
        <f t="shared" si="6"/>
        <v>5.1626632847767695</v>
      </c>
      <c r="H30" s="25">
        <f t="shared" si="7"/>
        <v>3.8141674107052381</v>
      </c>
      <c r="I30" s="26">
        <f t="shared" si="8"/>
        <v>0.59453942312930286</v>
      </c>
      <c r="J30" s="26">
        <f t="shared" si="8"/>
        <v>0.4054605768706972</v>
      </c>
      <c r="K30" s="22">
        <f t="shared" si="0"/>
        <v>0.58650640274926003</v>
      </c>
      <c r="L30" s="48">
        <f t="shared" si="1"/>
        <v>0.41349359725073997</v>
      </c>
      <c r="M30" s="23">
        <v>61113.632879999997</v>
      </c>
      <c r="N30" s="23">
        <v>43184.804188928203</v>
      </c>
      <c r="O30" s="23">
        <v>31411.158203999999</v>
      </c>
      <c r="P30" s="24">
        <v>2676274.426</v>
      </c>
      <c r="Q30" s="24">
        <v>2345328.7949999999</v>
      </c>
      <c r="R30" s="24">
        <v>132027.988799385</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93D8D-8C52-48E5-8A00-4814D98910A9}">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70</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0.58318102695977758</v>
      </c>
      <c r="L9" s="48">
        <f t="shared" ref="L9:L30" si="1">1-K9</f>
        <v>0.41681897304022242</v>
      </c>
      <c r="M9" s="23">
        <v>21424.213</v>
      </c>
      <c r="N9" s="24">
        <v>34282.921999999999</v>
      </c>
      <c r="O9" s="24">
        <v>11638.482</v>
      </c>
      <c r="P9" s="24">
        <v>444536.84</v>
      </c>
      <c r="Q9" s="24">
        <v>414091.04</v>
      </c>
      <c r="R9" s="24">
        <v>68612.4466000393</v>
      </c>
    </row>
    <row r="10" spans="1:18" ht="15" x14ac:dyDescent="0.25">
      <c r="A10" s="20">
        <v>2002</v>
      </c>
      <c r="B10" s="21">
        <f t="shared" ref="B10:B27" si="2">B11*EXP(-C11/100)</f>
        <v>1.0443072504480924</v>
      </c>
      <c r="C10" s="25">
        <f t="shared" ref="C10:C30" si="3">D10-E10-F10</f>
        <v>-4.608458556701911E-2</v>
      </c>
      <c r="D10" s="25">
        <f t="shared" ref="D10:D30" si="4">(LN(N10)-LN(N9))*100</f>
        <v>3.0465642738102261</v>
      </c>
      <c r="E10" s="25">
        <f t="shared" ref="E10:F30" si="5">I10*G10</f>
        <v>1.4212035785897048</v>
      </c>
      <c r="F10" s="47">
        <f t="shared" si="5"/>
        <v>1.6714452807875404</v>
      </c>
      <c r="G10" s="25">
        <f t="shared" ref="G10:G30" si="6">(LN(P10)-LN(P9))*100</f>
        <v>2.4130536838335104</v>
      </c>
      <c r="H10" s="25">
        <f t="shared" ref="H10:H30" si="7">(LN(R10)-LN(R9))*100</f>
        <v>4.0664281536161084</v>
      </c>
      <c r="I10" s="26">
        <f t="shared" ref="I10:J30" si="8">(K10+K9)/2</f>
        <v>0.58896475785482827</v>
      </c>
      <c r="J10" s="26">
        <f t="shared" si="8"/>
        <v>0.41103524214517168</v>
      </c>
      <c r="K10" s="22">
        <f t="shared" si="0"/>
        <v>0.59474848874987907</v>
      </c>
      <c r="L10" s="48">
        <f t="shared" si="1"/>
        <v>0.40525151125012093</v>
      </c>
      <c r="M10" s="23">
        <v>22423.919000000002</v>
      </c>
      <c r="N10" s="24">
        <v>35343.446000000004</v>
      </c>
      <c r="O10" s="24">
        <v>12459.552</v>
      </c>
      <c r="P10" s="24">
        <v>455394.223</v>
      </c>
      <c r="Q10" s="24">
        <v>425446.62300000002</v>
      </c>
      <c r="R10" s="24">
        <v>71460.027478757402</v>
      </c>
    </row>
    <row r="11" spans="1:18" ht="15" x14ac:dyDescent="0.25">
      <c r="A11" s="20">
        <v>2003</v>
      </c>
      <c r="B11" s="21">
        <f t="shared" si="2"/>
        <v>1.0420755954357162</v>
      </c>
      <c r="C11" s="25">
        <f t="shared" si="3"/>
        <v>-0.21392582553700468</v>
      </c>
      <c r="D11" s="25">
        <f t="shared" si="4"/>
        <v>2.4843699670144659</v>
      </c>
      <c r="E11" s="25">
        <f t="shared" si="5"/>
        <v>1.0979316126930148</v>
      </c>
      <c r="F11" s="47">
        <f t="shared" si="5"/>
        <v>1.6003641798584558</v>
      </c>
      <c r="G11" s="25">
        <f t="shared" si="6"/>
        <v>1.857314656186837</v>
      </c>
      <c r="H11" s="25">
        <f t="shared" si="7"/>
        <v>3.9142036050897389</v>
      </c>
      <c r="I11" s="26">
        <f t="shared" si="8"/>
        <v>0.59113926067170819</v>
      </c>
      <c r="J11" s="26">
        <f t="shared" si="8"/>
        <v>0.40886073932829181</v>
      </c>
      <c r="K11" s="22">
        <f t="shared" si="0"/>
        <v>0.58753003259353731</v>
      </c>
      <c r="L11" s="48">
        <f t="shared" si="1"/>
        <v>0.41246996740646269</v>
      </c>
      <c r="M11" s="23">
        <v>23474.633999999998</v>
      </c>
      <c r="N11" s="24">
        <v>36232.506000000001</v>
      </c>
      <c r="O11" s="24">
        <v>12871.71</v>
      </c>
      <c r="P11" s="24">
        <v>463931.36200000002</v>
      </c>
      <c r="Q11" s="24">
        <v>432973.26199999999</v>
      </c>
      <c r="R11" s="24">
        <v>74312.581649306201</v>
      </c>
    </row>
    <row r="12" spans="1:18" ht="15" x14ac:dyDescent="0.25">
      <c r="A12" s="20">
        <v>2004</v>
      </c>
      <c r="B12" s="21">
        <f t="shared" si="2"/>
        <v>1.0478443183062756</v>
      </c>
      <c r="C12" s="25">
        <f t="shared" si="3"/>
        <v>0.5520534527087424</v>
      </c>
      <c r="D12" s="25">
        <f t="shared" si="4"/>
        <v>3.6105073151576406</v>
      </c>
      <c r="E12" s="25">
        <f t="shared" si="5"/>
        <v>1.3505083113802825</v>
      </c>
      <c r="F12" s="47">
        <f t="shared" si="5"/>
        <v>1.7079455510686157</v>
      </c>
      <c r="G12" s="25">
        <f t="shared" si="6"/>
        <v>2.3056253289764683</v>
      </c>
      <c r="H12" s="25">
        <f t="shared" si="7"/>
        <v>4.1229320078153719</v>
      </c>
      <c r="I12" s="26">
        <f t="shared" si="8"/>
        <v>0.58574491458237532</v>
      </c>
      <c r="J12" s="26">
        <f t="shared" si="8"/>
        <v>0.41425508541762468</v>
      </c>
      <c r="K12" s="22">
        <f t="shared" si="0"/>
        <v>0.58395979657121333</v>
      </c>
      <c r="L12" s="48">
        <f t="shared" si="1"/>
        <v>0.41604020342878667</v>
      </c>
      <c r="M12" s="23">
        <v>25053.304</v>
      </c>
      <c r="N12" s="24">
        <v>37564.586000000003</v>
      </c>
      <c r="O12" s="24">
        <v>13648.094999999999</v>
      </c>
      <c r="P12" s="24">
        <v>474752.14500000002</v>
      </c>
      <c r="Q12" s="24">
        <v>442885.04499999998</v>
      </c>
      <c r="R12" s="24">
        <v>77440.4762798702</v>
      </c>
    </row>
    <row r="13" spans="1:18" ht="15" x14ac:dyDescent="0.25">
      <c r="A13" s="20">
        <v>2005</v>
      </c>
      <c r="B13" s="21">
        <f t="shared" si="2"/>
        <v>1.0470445118709895</v>
      </c>
      <c r="C13" s="25">
        <f t="shared" si="3"/>
        <v>-7.6357891896260854E-2</v>
      </c>
      <c r="D13" s="25">
        <f t="shared" si="4"/>
        <v>2.1361607476883648</v>
      </c>
      <c r="E13" s="25">
        <f t="shared" si="5"/>
        <v>0.8534747868845115</v>
      </c>
      <c r="F13" s="47">
        <f t="shared" si="5"/>
        <v>1.3590438527001141</v>
      </c>
      <c r="G13" s="25">
        <f t="shared" si="6"/>
        <v>1.46343553744952</v>
      </c>
      <c r="H13" s="25">
        <f t="shared" si="7"/>
        <v>3.2606574589452819</v>
      </c>
      <c r="I13" s="26">
        <f t="shared" si="8"/>
        <v>0.58319944066135632</v>
      </c>
      <c r="J13" s="26">
        <f t="shared" si="8"/>
        <v>0.41680055933864368</v>
      </c>
      <c r="K13" s="22">
        <f t="shared" si="0"/>
        <v>0.5824390847514993</v>
      </c>
      <c r="L13" s="48">
        <f t="shared" si="1"/>
        <v>0.4175609152485007</v>
      </c>
      <c r="M13" s="23">
        <v>26894.031999999999</v>
      </c>
      <c r="N13" s="24">
        <v>38375.658000000003</v>
      </c>
      <c r="O13" s="24">
        <v>14612.044</v>
      </c>
      <c r="P13" s="24">
        <v>481750.92300000001</v>
      </c>
      <c r="Q13" s="24">
        <v>449393.82299999997</v>
      </c>
      <c r="R13" s="24">
        <v>80007.162974514897</v>
      </c>
    </row>
    <row r="14" spans="1:18" ht="15" x14ac:dyDescent="0.25">
      <c r="A14" s="20">
        <v>2006</v>
      </c>
      <c r="B14" s="21">
        <f t="shared" si="2"/>
        <v>1.0786607004783932</v>
      </c>
      <c r="C14" s="25">
        <f t="shared" si="3"/>
        <v>2.9748734725357497</v>
      </c>
      <c r="D14" s="25">
        <f t="shared" si="4"/>
        <v>6.5990067634073668</v>
      </c>
      <c r="E14" s="25">
        <f t="shared" si="5"/>
        <v>2.1482948689417491</v>
      </c>
      <c r="F14" s="47">
        <f t="shared" si="5"/>
        <v>1.4758384219298684</v>
      </c>
      <c r="G14" s="25">
        <f t="shared" si="6"/>
        <v>3.7856285057451089</v>
      </c>
      <c r="H14" s="25">
        <f t="shared" si="7"/>
        <v>3.4122404098649639</v>
      </c>
      <c r="I14" s="26">
        <f t="shared" si="8"/>
        <v>0.56748697493202904</v>
      </c>
      <c r="J14" s="26">
        <f t="shared" si="8"/>
        <v>0.4325130250679709</v>
      </c>
      <c r="K14" s="22">
        <f t="shared" si="0"/>
        <v>0.55253486511255889</v>
      </c>
      <c r="L14" s="48">
        <f t="shared" si="1"/>
        <v>0.44746513488744111</v>
      </c>
      <c r="M14" s="23">
        <v>30683.877</v>
      </c>
      <c r="N14" s="24">
        <v>40993.495999999999</v>
      </c>
      <c r="O14" s="24">
        <v>15842.293</v>
      </c>
      <c r="P14" s="24">
        <v>500337.81900000002</v>
      </c>
      <c r="Q14" s="24">
        <v>467532.11900000001</v>
      </c>
      <c r="R14" s="24">
        <v>82784.311760340701</v>
      </c>
    </row>
    <row r="15" spans="1:18" ht="15" x14ac:dyDescent="0.25">
      <c r="A15" s="20">
        <v>2007</v>
      </c>
      <c r="B15" s="21">
        <f t="shared" si="2"/>
        <v>1.1119464500939027</v>
      </c>
      <c r="C15" s="25">
        <f t="shared" si="3"/>
        <v>3.0391858842511299</v>
      </c>
      <c r="D15" s="25">
        <f t="shared" si="4"/>
        <v>7.8224429717664634</v>
      </c>
      <c r="E15" s="25">
        <f t="shared" si="5"/>
        <v>2.8455950886701373</v>
      </c>
      <c r="F15" s="47">
        <f t="shared" si="5"/>
        <v>1.9376619988451962</v>
      </c>
      <c r="G15" s="25">
        <f t="shared" si="6"/>
        <v>5.1677214539934013</v>
      </c>
      <c r="H15" s="25">
        <f t="shared" si="7"/>
        <v>4.3121242803795923</v>
      </c>
      <c r="I15" s="26">
        <f t="shared" si="8"/>
        <v>0.5506479236552464</v>
      </c>
      <c r="J15" s="26">
        <f t="shared" si="8"/>
        <v>0.4493520763447536</v>
      </c>
      <c r="K15" s="22">
        <f t="shared" si="0"/>
        <v>0.5487609821979339</v>
      </c>
      <c r="L15" s="48">
        <f t="shared" si="1"/>
        <v>0.4512390178020661</v>
      </c>
      <c r="M15" s="23">
        <v>33658.394</v>
      </c>
      <c r="N15" s="24">
        <v>44328.945</v>
      </c>
      <c r="O15" s="24">
        <v>17250.965</v>
      </c>
      <c r="P15" s="24">
        <v>526873.62699999998</v>
      </c>
      <c r="Q15" s="24">
        <v>492088.527</v>
      </c>
      <c r="R15" s="24">
        <v>86432.158787773602</v>
      </c>
    </row>
    <row r="16" spans="1:18" ht="15" x14ac:dyDescent="0.25">
      <c r="A16" s="20">
        <v>2008</v>
      </c>
      <c r="B16" s="21">
        <f t="shared" si="2"/>
        <v>1.0556190228815028</v>
      </c>
      <c r="C16" s="25">
        <f t="shared" si="3"/>
        <v>-5.1984691875364426</v>
      </c>
      <c r="D16" s="25">
        <f t="shared" si="4"/>
        <v>-0.45605028691984018</v>
      </c>
      <c r="E16" s="25">
        <f t="shared" si="5"/>
        <v>2.5582065181418852</v>
      </c>
      <c r="F16" s="47">
        <f t="shared" si="5"/>
        <v>2.1842123824747168</v>
      </c>
      <c r="G16" s="25">
        <f t="shared" si="6"/>
        <v>4.6484388810155153</v>
      </c>
      <c r="H16" s="25">
        <f t="shared" si="7"/>
        <v>4.8574397485323217</v>
      </c>
      <c r="I16" s="26">
        <f t="shared" si="8"/>
        <v>0.55033670090613518</v>
      </c>
      <c r="J16" s="26">
        <f t="shared" si="8"/>
        <v>0.44966329909386482</v>
      </c>
      <c r="K16" s="22">
        <f t="shared" si="0"/>
        <v>0.55191241961433646</v>
      </c>
      <c r="L16" s="48">
        <f t="shared" si="1"/>
        <v>0.44808758038566354</v>
      </c>
      <c r="M16" s="23">
        <v>35998.313999999998</v>
      </c>
      <c r="N16" s="24">
        <v>44127.243000000002</v>
      </c>
      <c r="O16" s="24">
        <v>18567.261999999999</v>
      </c>
      <c r="P16" s="24">
        <v>551943.18299999996</v>
      </c>
      <c r="Q16" s="24">
        <v>515810.18300000002</v>
      </c>
      <c r="R16" s="24">
        <v>90734.187200225904</v>
      </c>
    </row>
    <row r="17" spans="1:20" ht="15" x14ac:dyDescent="0.25">
      <c r="A17" s="20">
        <v>2009</v>
      </c>
      <c r="B17" s="21">
        <f t="shared" si="2"/>
        <v>1.0272173388669441</v>
      </c>
      <c r="C17" s="25">
        <f t="shared" si="3"/>
        <v>-2.7273812853927657</v>
      </c>
      <c r="D17" s="25">
        <f t="shared" si="4"/>
        <v>-3.3591327011281535</v>
      </c>
      <c r="E17" s="25">
        <f t="shared" si="5"/>
        <v>-1.746940090717805</v>
      </c>
      <c r="F17" s="47">
        <f t="shared" si="5"/>
        <v>1.1151886749824169</v>
      </c>
      <c r="G17" s="25">
        <f t="shared" si="6"/>
        <v>-3.0905902791380058</v>
      </c>
      <c r="H17" s="25">
        <f t="shared" si="7"/>
        <v>2.5650956685071336</v>
      </c>
      <c r="I17" s="26">
        <f t="shared" si="8"/>
        <v>0.5652448021046137</v>
      </c>
      <c r="J17" s="26">
        <f t="shared" si="8"/>
        <v>0.43475519789538625</v>
      </c>
      <c r="K17" s="22">
        <f t="shared" si="0"/>
        <v>0.57857718459489105</v>
      </c>
      <c r="L17" s="48">
        <f t="shared" si="1"/>
        <v>0.42142281540510895</v>
      </c>
      <c r="M17" s="23">
        <v>35116.858999999997</v>
      </c>
      <c r="N17" s="24">
        <v>42669.57</v>
      </c>
      <c r="O17" s="24">
        <v>19021.723000000002</v>
      </c>
      <c r="P17" s="24">
        <v>535145.78700000001</v>
      </c>
      <c r="Q17" s="24">
        <v>501008.38699999999</v>
      </c>
      <c r="R17" s="24">
        <v>93091.7130385364</v>
      </c>
    </row>
    <row r="18" spans="1:20" ht="15" x14ac:dyDescent="0.25">
      <c r="A18" s="20">
        <v>2010</v>
      </c>
      <c r="B18" s="21">
        <f t="shared" si="2"/>
        <v>1.0376349437424972</v>
      </c>
      <c r="C18" s="25">
        <f t="shared" si="3"/>
        <v>1.0090497373495473</v>
      </c>
      <c r="D18" s="25">
        <f t="shared" si="4"/>
        <v>3.5866264663502179</v>
      </c>
      <c r="E18" s="25">
        <f t="shared" si="5"/>
        <v>1.1409740504392942</v>
      </c>
      <c r="F18" s="47">
        <f t="shared" si="5"/>
        <v>1.4366026785613761</v>
      </c>
      <c r="G18" s="25">
        <f t="shared" si="6"/>
        <v>2.0214232222711459</v>
      </c>
      <c r="H18" s="25">
        <f t="shared" si="7"/>
        <v>3.2982960385764315</v>
      </c>
      <c r="I18" s="26">
        <f t="shared" si="8"/>
        <v>0.56444095321976484</v>
      </c>
      <c r="J18" s="26">
        <f t="shared" si="8"/>
        <v>0.43555904678023516</v>
      </c>
      <c r="K18" s="22">
        <f t="shared" si="0"/>
        <v>0.55030472184463863</v>
      </c>
      <c r="L18" s="48">
        <f t="shared" si="1"/>
        <v>0.44969527815536137</v>
      </c>
      <c r="M18" s="23">
        <v>38235.934000000001</v>
      </c>
      <c r="N18" s="24">
        <v>44227.743999999999</v>
      </c>
      <c r="O18" s="24">
        <v>19735.885999999999</v>
      </c>
      <c r="P18" s="24">
        <v>546073.42299999995</v>
      </c>
      <c r="Q18" s="24">
        <v>512191.92300000001</v>
      </c>
      <c r="R18" s="24">
        <v>96213.350757527005</v>
      </c>
    </row>
    <row r="19" spans="1:20" ht="15" x14ac:dyDescent="0.25">
      <c r="A19" s="20">
        <v>2011</v>
      </c>
      <c r="B19" s="21">
        <f t="shared" si="2"/>
        <v>1.005619511793211</v>
      </c>
      <c r="C19" s="25">
        <f t="shared" si="3"/>
        <v>-3.1340249681349075</v>
      </c>
      <c r="D19" s="25">
        <f t="shared" si="4"/>
        <v>0.3715165664276654</v>
      </c>
      <c r="E19" s="25">
        <f t="shared" si="5"/>
        <v>1.5698008444970424</v>
      </c>
      <c r="F19" s="47">
        <f t="shared" si="5"/>
        <v>1.9357406900655305</v>
      </c>
      <c r="G19" s="25">
        <f t="shared" si="6"/>
        <v>2.8153302964680549</v>
      </c>
      <c r="H19" s="25">
        <f t="shared" si="7"/>
        <v>4.3754480491998038</v>
      </c>
      <c r="I19" s="26">
        <f t="shared" si="8"/>
        <v>0.5575902928570835</v>
      </c>
      <c r="J19" s="26">
        <f t="shared" si="8"/>
        <v>0.4424097071429165</v>
      </c>
      <c r="K19" s="22">
        <f t="shared" si="0"/>
        <v>0.56487586386952837</v>
      </c>
      <c r="L19" s="48">
        <f t="shared" si="1"/>
        <v>0.43512413613047163</v>
      </c>
      <c r="M19" s="23">
        <v>39801.076000000001</v>
      </c>
      <c r="N19" s="24">
        <v>44392.362999999998</v>
      </c>
      <c r="O19" s="24">
        <v>21107.473999999998</v>
      </c>
      <c r="P19" s="24">
        <v>561665.65</v>
      </c>
      <c r="Q19" s="24">
        <v>527310.35</v>
      </c>
      <c r="R19" s="24">
        <v>100516.572037187</v>
      </c>
    </row>
    <row r="20" spans="1:20" ht="15" x14ac:dyDescent="0.25">
      <c r="A20" s="20">
        <v>2012</v>
      </c>
      <c r="B20" s="21">
        <f t="shared" si="2"/>
        <v>0.99243870351289476</v>
      </c>
      <c r="C20" s="25">
        <f t="shared" si="3"/>
        <v>-1.3193809254053659</v>
      </c>
      <c r="D20" s="25">
        <f t="shared" si="4"/>
        <v>1.3675414178774048</v>
      </c>
      <c r="E20" s="25">
        <f t="shared" si="5"/>
        <v>1.1408166493729617</v>
      </c>
      <c r="F20" s="47">
        <f t="shared" si="5"/>
        <v>1.546105693909809</v>
      </c>
      <c r="G20" s="25">
        <f t="shared" si="6"/>
        <v>2.0285690042374682</v>
      </c>
      <c r="H20" s="25">
        <f t="shared" si="7"/>
        <v>3.5329470778133754</v>
      </c>
      <c r="I20" s="26">
        <f t="shared" si="8"/>
        <v>0.56237507671166975</v>
      </c>
      <c r="J20" s="26">
        <f t="shared" si="8"/>
        <v>0.43762492328833025</v>
      </c>
      <c r="K20" s="22">
        <f t="shared" si="0"/>
        <v>0.55987428955381113</v>
      </c>
      <c r="L20" s="48">
        <f t="shared" si="1"/>
        <v>0.44012571044618887</v>
      </c>
      <c r="M20" s="23">
        <v>41682.682000000001</v>
      </c>
      <c r="N20" s="24">
        <v>45003.616999999998</v>
      </c>
      <c r="O20" s="24">
        <v>21904.332999999999</v>
      </c>
      <c r="P20" s="24">
        <v>573175.77599999995</v>
      </c>
      <c r="Q20" s="24">
        <v>537986.87600000005</v>
      </c>
      <c r="R20" s="24">
        <v>104131.245614054</v>
      </c>
    </row>
    <row r="21" spans="1:20" ht="15" x14ac:dyDescent="0.25">
      <c r="A21" s="20">
        <v>2013</v>
      </c>
      <c r="B21" s="21">
        <f t="shared" si="2"/>
        <v>1.0004961327338129</v>
      </c>
      <c r="C21" s="25">
        <f t="shared" si="3"/>
        <v>0.8086037713400569</v>
      </c>
      <c r="D21" s="25">
        <f t="shared" si="4"/>
        <v>3.0552694044555295</v>
      </c>
      <c r="E21" s="25">
        <f t="shared" si="5"/>
        <v>0.73134592595294534</v>
      </c>
      <c r="F21" s="47">
        <f t="shared" si="5"/>
        <v>1.5153197071625271</v>
      </c>
      <c r="G21" s="25">
        <f t="shared" si="6"/>
        <v>1.3096570751883974</v>
      </c>
      <c r="H21" s="25">
        <f t="shared" si="7"/>
        <v>3.4316287664200473</v>
      </c>
      <c r="I21" s="26">
        <f t="shared" si="8"/>
        <v>0.55842551444067101</v>
      </c>
      <c r="J21" s="26">
        <f t="shared" si="8"/>
        <v>0.44157448555932899</v>
      </c>
      <c r="K21" s="22">
        <f t="shared" si="0"/>
        <v>0.55697673932753089</v>
      </c>
      <c r="L21" s="48">
        <f t="shared" si="1"/>
        <v>0.44302326067246911</v>
      </c>
      <c r="M21" s="23">
        <v>44019.417999999998</v>
      </c>
      <c r="N21" s="24">
        <v>46399.819000000003</v>
      </c>
      <c r="O21" s="24">
        <v>22980.057000000001</v>
      </c>
      <c r="P21" s="24">
        <v>580731.78399999999</v>
      </c>
      <c r="Q21" s="24">
        <v>544308.78399999999</v>
      </c>
      <c r="R21" s="24">
        <v>107766.66366824901</v>
      </c>
    </row>
    <row r="22" spans="1:20" ht="15" x14ac:dyDescent="0.25">
      <c r="A22" s="20">
        <v>2014</v>
      </c>
      <c r="B22" s="21">
        <f t="shared" si="2"/>
        <v>0.98750801107660779</v>
      </c>
      <c r="C22" s="25">
        <f t="shared" si="3"/>
        <v>-1.3066679457785428</v>
      </c>
      <c r="D22" s="25">
        <f t="shared" si="4"/>
        <v>2.0261102823026178</v>
      </c>
      <c r="E22" s="25">
        <f t="shared" si="5"/>
        <v>1.5778493428093245</v>
      </c>
      <c r="F22" s="47">
        <f t="shared" si="5"/>
        <v>1.7549288852718361</v>
      </c>
      <c r="G22" s="25">
        <f t="shared" si="6"/>
        <v>2.8380458650168805</v>
      </c>
      <c r="H22" s="25">
        <f t="shared" si="7"/>
        <v>3.952215847667695</v>
      </c>
      <c r="I22" s="26">
        <f t="shared" si="8"/>
        <v>0.55596329934574173</v>
      </c>
      <c r="J22" s="26">
        <f t="shared" si="8"/>
        <v>0.44403670065425832</v>
      </c>
      <c r="K22" s="22">
        <f t="shared" si="0"/>
        <v>0.55494985936395247</v>
      </c>
      <c r="L22" s="48">
        <f t="shared" si="1"/>
        <v>0.44505014063604753</v>
      </c>
      <c r="M22" s="23">
        <v>46254.987999999998</v>
      </c>
      <c r="N22" s="24">
        <v>47349.519</v>
      </c>
      <c r="O22" s="24">
        <v>24041.535</v>
      </c>
      <c r="P22" s="24">
        <v>597449.32200000004</v>
      </c>
      <c r="Q22" s="24">
        <v>559565.522</v>
      </c>
      <c r="R22" s="24">
        <v>112111.12049473599</v>
      </c>
    </row>
    <row r="23" spans="1:20" ht="15" x14ac:dyDescent="0.25">
      <c r="A23" s="20">
        <v>2015</v>
      </c>
      <c r="B23" s="21">
        <f t="shared" si="2"/>
        <v>1.0045634098198857</v>
      </c>
      <c r="C23" s="25">
        <f t="shared" si="3"/>
        <v>1.7123698791623527</v>
      </c>
      <c r="D23" s="25">
        <f t="shared" si="4"/>
        <v>4.5169280164207848</v>
      </c>
      <c r="E23" s="25">
        <f t="shared" si="5"/>
        <v>1.6506151334848846</v>
      </c>
      <c r="F23" s="47">
        <f t="shared" si="5"/>
        <v>1.1539430037735474</v>
      </c>
      <c r="G23" s="25">
        <f t="shared" si="6"/>
        <v>3.0156992829455831</v>
      </c>
      <c r="H23" s="25">
        <f t="shared" si="7"/>
        <v>2.5492531653926065</v>
      </c>
      <c r="I23" s="26">
        <f t="shared" si="8"/>
        <v>0.54734075868222742</v>
      </c>
      <c r="J23" s="26">
        <f t="shared" si="8"/>
        <v>0.45265924131777258</v>
      </c>
      <c r="K23" s="22">
        <f t="shared" si="0"/>
        <v>0.53973165800050238</v>
      </c>
      <c r="L23" s="48">
        <f t="shared" si="1"/>
        <v>0.46026834199949762</v>
      </c>
      <c r="M23" s="23">
        <v>49537.300999999999</v>
      </c>
      <c r="N23" s="24">
        <v>49537.300999999999</v>
      </c>
      <c r="O23" s="24">
        <v>25058.094000000001</v>
      </c>
      <c r="P23" s="24">
        <v>615741.022</v>
      </c>
      <c r="Q23" s="24">
        <v>577079.82200000004</v>
      </c>
      <c r="R23" s="24">
        <v>115005.85709999999</v>
      </c>
    </row>
    <row r="24" spans="1:20" ht="15" x14ac:dyDescent="0.25">
      <c r="A24" s="20">
        <v>2016</v>
      </c>
      <c r="B24" s="21">
        <f t="shared" si="2"/>
        <v>1.024862800299571</v>
      </c>
      <c r="C24" s="25">
        <f t="shared" si="3"/>
        <v>2.0005721230439901</v>
      </c>
      <c r="D24" s="25">
        <f t="shared" si="4"/>
        <v>4.952325234133248</v>
      </c>
      <c r="E24" s="25">
        <f t="shared" si="5"/>
        <v>1.5587046722532123</v>
      </c>
      <c r="F24" s="47">
        <f t="shared" si="5"/>
        <v>1.3930484388360458</v>
      </c>
      <c r="G24" s="25">
        <f t="shared" si="6"/>
        <v>2.8878063430504142</v>
      </c>
      <c r="H24" s="25">
        <f t="shared" si="7"/>
        <v>3.0267467164000195</v>
      </c>
      <c r="I24" s="26">
        <f t="shared" si="8"/>
        <v>0.53975387788875739</v>
      </c>
      <c r="J24" s="26">
        <f t="shared" si="8"/>
        <v>0.46024612211124255</v>
      </c>
      <c r="K24" s="22">
        <f t="shared" si="0"/>
        <v>0.53977609777701252</v>
      </c>
      <c r="L24" s="48">
        <f t="shared" si="1"/>
        <v>0.46022390222298748</v>
      </c>
      <c r="M24" s="23">
        <v>51386.241000000002</v>
      </c>
      <c r="N24" s="24">
        <v>52052.311000000002</v>
      </c>
      <c r="O24" s="24">
        <v>25994.45</v>
      </c>
      <c r="P24" s="24">
        <v>633781.66599999997</v>
      </c>
      <c r="Q24" s="24">
        <v>593963.56599999999</v>
      </c>
      <c r="R24" s="24">
        <v>118540.00819999901</v>
      </c>
    </row>
    <row r="25" spans="1:20" ht="15" x14ac:dyDescent="0.25">
      <c r="A25" s="20">
        <v>2017</v>
      </c>
      <c r="B25" s="21">
        <f t="shared" si="2"/>
        <v>1.0040665330834546</v>
      </c>
      <c r="C25" s="25">
        <f t="shared" si="3"/>
        <v>-2.0500463179619217</v>
      </c>
      <c r="D25" s="25">
        <f t="shared" si="4"/>
        <v>0.9043403819692486</v>
      </c>
      <c r="E25" s="25">
        <f t="shared" si="5"/>
        <v>1.5366811942620169</v>
      </c>
      <c r="F25" s="47">
        <f t="shared" si="5"/>
        <v>1.4177055056691532</v>
      </c>
      <c r="G25" s="25">
        <f t="shared" si="6"/>
        <v>2.8001498698870364</v>
      </c>
      <c r="H25" s="25">
        <f t="shared" si="7"/>
        <v>3.1419757084787392</v>
      </c>
      <c r="I25" s="26">
        <f t="shared" si="8"/>
        <v>0.54878533852333045</v>
      </c>
      <c r="J25" s="26">
        <f t="shared" si="8"/>
        <v>0.45121466147666955</v>
      </c>
      <c r="K25" s="22">
        <f t="shared" si="0"/>
        <v>0.55779457926964837</v>
      </c>
      <c r="L25" s="48">
        <f t="shared" si="1"/>
        <v>0.44220542073035163</v>
      </c>
      <c r="M25" s="23">
        <v>53011.49</v>
      </c>
      <c r="N25" s="24">
        <v>52525.175999999999</v>
      </c>
      <c r="O25" s="24">
        <v>27765.455999999998</v>
      </c>
      <c r="P25" s="24">
        <v>651779.30700000003</v>
      </c>
      <c r="Q25" s="24">
        <v>612013.60699999996</v>
      </c>
      <c r="R25" s="24">
        <v>122323.635526577</v>
      </c>
    </row>
    <row r="26" spans="1:20" ht="15" x14ac:dyDescent="0.25">
      <c r="A26" s="20">
        <v>2018</v>
      </c>
      <c r="B26" s="21">
        <f t="shared" si="2"/>
        <v>0.98867448145653325</v>
      </c>
      <c r="C26" s="25">
        <f t="shared" si="3"/>
        <v>-1.5448427696169638</v>
      </c>
      <c r="D26" s="25">
        <f t="shared" si="4"/>
        <v>1.2326999570971608</v>
      </c>
      <c r="E26" s="25">
        <f t="shared" si="5"/>
        <v>1.6052280913634225</v>
      </c>
      <c r="F26" s="47">
        <f t="shared" si="5"/>
        <v>1.1723146353507021</v>
      </c>
      <c r="G26" s="25">
        <f t="shared" si="6"/>
        <v>2.8332300142210443</v>
      </c>
      <c r="H26" s="25">
        <f t="shared" si="7"/>
        <v>2.7047490310577516</v>
      </c>
      <c r="I26" s="26">
        <f t="shared" si="8"/>
        <v>0.56657175143076299</v>
      </c>
      <c r="J26" s="26">
        <f t="shared" si="8"/>
        <v>0.43342824856923701</v>
      </c>
      <c r="K26" s="22">
        <f t="shared" si="0"/>
        <v>0.57534892359187761</v>
      </c>
      <c r="L26" s="48">
        <f t="shared" si="1"/>
        <v>0.42465107640812239</v>
      </c>
      <c r="M26" s="23">
        <v>54533.050999999999</v>
      </c>
      <c r="N26" s="24">
        <v>53176.661</v>
      </c>
      <c r="O26" s="24">
        <v>29699.392</v>
      </c>
      <c r="P26" s="24">
        <v>670509.80000000005</v>
      </c>
      <c r="Q26" s="24">
        <v>634689.9</v>
      </c>
      <c r="R26" s="24">
        <v>125677.332970837</v>
      </c>
    </row>
    <row r="27" spans="1:20" ht="15" x14ac:dyDescent="0.25">
      <c r="A27" s="20">
        <f>A26+1</f>
        <v>2019</v>
      </c>
      <c r="B27" s="21">
        <f t="shared" si="2"/>
        <v>0.98682753630636766</v>
      </c>
      <c r="C27" s="25">
        <f t="shared" si="3"/>
        <v>-0.18698494576945301</v>
      </c>
      <c r="D27" s="25">
        <f t="shared" si="4"/>
        <v>2.7882547903704591</v>
      </c>
      <c r="E27" s="25">
        <f t="shared" si="5"/>
        <v>1.8219187488862769</v>
      </c>
      <c r="F27" s="47">
        <f t="shared" si="5"/>
        <v>1.1533209872536352</v>
      </c>
      <c r="G27" s="25">
        <f t="shared" si="6"/>
        <v>3.1373344399780123</v>
      </c>
      <c r="H27" s="25">
        <f t="shared" si="7"/>
        <v>2.7507301898285874</v>
      </c>
      <c r="I27" s="26">
        <f t="shared" si="8"/>
        <v>0.58072187831497035</v>
      </c>
      <c r="J27" s="26">
        <f t="shared" si="8"/>
        <v>0.41927812168502965</v>
      </c>
      <c r="K27" s="22">
        <f t="shared" si="0"/>
        <v>0.58609483303806309</v>
      </c>
      <c r="L27" s="48">
        <f t="shared" si="1"/>
        <v>0.41390516696193691</v>
      </c>
      <c r="M27" s="23">
        <v>56495.173999999999</v>
      </c>
      <c r="N27" s="24">
        <v>54680.226000000002</v>
      </c>
      <c r="O27" s="24">
        <v>31348.062000000002</v>
      </c>
      <c r="P27" s="24">
        <v>691879.4</v>
      </c>
      <c r="Q27" s="24">
        <v>655031</v>
      </c>
      <c r="R27" s="24">
        <v>129182.363269469</v>
      </c>
    </row>
    <row r="28" spans="1:20" ht="15" x14ac:dyDescent="0.25">
      <c r="A28" s="20">
        <f t="shared" ref="A28:A30" si="9">A27+1</f>
        <v>2020</v>
      </c>
      <c r="B28" s="21">
        <v>1</v>
      </c>
      <c r="C28" s="25">
        <f t="shared" si="3"/>
        <v>1.3259990068545351</v>
      </c>
      <c r="D28" s="25">
        <f t="shared" si="4"/>
        <v>-0.88976047694995231</v>
      </c>
      <c r="E28" s="25">
        <f t="shared" si="5"/>
        <v>-3.2340052162886082</v>
      </c>
      <c r="F28" s="47">
        <f t="shared" si="5"/>
        <v>1.0182457324841208</v>
      </c>
      <c r="G28" s="25">
        <f t="shared" si="6"/>
        <v>-5.5461241922351689</v>
      </c>
      <c r="H28" s="25">
        <f t="shared" si="7"/>
        <v>2.442485594089483</v>
      </c>
      <c r="I28" s="26">
        <f t="shared" si="8"/>
        <v>0.58311085439023624</v>
      </c>
      <c r="J28" s="26">
        <f t="shared" si="8"/>
        <v>0.41688914560976376</v>
      </c>
      <c r="K28" s="22">
        <f t="shared" si="0"/>
        <v>0.5801268757424094</v>
      </c>
      <c r="L28" s="48">
        <f t="shared" si="1"/>
        <v>0.4198731242575906</v>
      </c>
      <c r="M28" s="23">
        <v>58593.313000000002</v>
      </c>
      <c r="N28" s="24">
        <v>54195.860999999997</v>
      </c>
      <c r="O28" s="24">
        <v>32229.753000000001</v>
      </c>
      <c r="P28" s="24">
        <v>654551.6</v>
      </c>
      <c r="Q28" s="24">
        <v>620625.80000000005</v>
      </c>
      <c r="R28" s="24">
        <v>132376.472924648</v>
      </c>
    </row>
    <row r="29" spans="1:20" ht="15" x14ac:dyDescent="0.25">
      <c r="A29" s="20">
        <f t="shared" si="9"/>
        <v>2021</v>
      </c>
      <c r="B29" s="21">
        <f>B28*EXP(C29/100)</f>
        <v>1.0097566686265511</v>
      </c>
      <c r="C29" s="25">
        <f t="shared" si="3"/>
        <v>0.97093796748347294</v>
      </c>
      <c r="D29" s="25">
        <f t="shared" si="4"/>
        <v>7.0006480565934837</v>
      </c>
      <c r="E29" s="25">
        <f t="shared" si="5"/>
        <v>5.0865585631687473</v>
      </c>
      <c r="F29" s="47">
        <f t="shared" si="5"/>
        <v>0.94315152594126339</v>
      </c>
      <c r="G29" s="25">
        <f t="shared" si="6"/>
        <v>8.9520645837868784</v>
      </c>
      <c r="H29" s="25">
        <f t="shared" si="7"/>
        <v>2.1842297819453904</v>
      </c>
      <c r="I29" s="26">
        <f t="shared" si="8"/>
        <v>0.56819949359849731</v>
      </c>
      <c r="J29" s="26">
        <f t="shared" si="8"/>
        <v>0.43180050640150269</v>
      </c>
      <c r="K29" s="22">
        <f t="shared" si="0"/>
        <v>0.55627211145458522</v>
      </c>
      <c r="L29" s="48">
        <f t="shared" si="1"/>
        <v>0.44372788854541478</v>
      </c>
      <c r="M29" s="23">
        <v>66274.077999999994</v>
      </c>
      <c r="N29" s="24">
        <v>58125.881000000001</v>
      </c>
      <c r="O29" s="24">
        <v>34935.457999999999</v>
      </c>
      <c r="P29" s="24">
        <v>715850.3</v>
      </c>
      <c r="Q29" s="24">
        <v>678356</v>
      </c>
      <c r="R29" s="24">
        <v>135299.68791899001</v>
      </c>
    </row>
    <row r="30" spans="1:20" ht="15" x14ac:dyDescent="0.25">
      <c r="A30" s="20">
        <f t="shared" si="9"/>
        <v>2022</v>
      </c>
      <c r="B30" s="27">
        <f t="shared" ref="B30" si="10">B29*EXP(C30/100)</f>
        <v>0.96882792020448527</v>
      </c>
      <c r="C30" s="28">
        <f t="shared" si="3"/>
        <v>-4.1377647464567602</v>
      </c>
      <c r="D30" s="25">
        <f t="shared" si="4"/>
        <v>-1.4935758352892847</v>
      </c>
      <c r="E30" s="28">
        <f t="shared" si="5"/>
        <v>1.6920583219817418</v>
      </c>
      <c r="F30" s="51">
        <f t="shared" si="5"/>
        <v>0.95213058918573368</v>
      </c>
      <c r="G30" s="25">
        <f t="shared" si="6"/>
        <v>2.9970307656885353</v>
      </c>
      <c r="H30" s="25">
        <f t="shared" si="7"/>
        <v>2.1866857668175754</v>
      </c>
      <c r="I30" s="26">
        <f t="shared" si="8"/>
        <v>0.56457822901027499</v>
      </c>
      <c r="J30" s="26">
        <f t="shared" si="8"/>
        <v>0.43542177098972507</v>
      </c>
      <c r="K30" s="22">
        <f t="shared" si="0"/>
        <v>0.57288434656596465</v>
      </c>
      <c r="L30" s="48">
        <f t="shared" si="1"/>
        <v>0.42711565343403535</v>
      </c>
      <c r="M30" s="23">
        <v>69430.320000000007</v>
      </c>
      <c r="N30" s="23">
        <v>57264.178</v>
      </c>
      <c r="O30" s="23">
        <v>37725.874000000003</v>
      </c>
      <c r="P30" s="24">
        <v>737629.28500000003</v>
      </c>
      <c r="Q30" s="24">
        <v>699618.58499999996</v>
      </c>
      <c r="R30" s="24">
        <v>138290.85142376201</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D33C-C55B-4D8B-9702-50CA9C483905}">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71</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0.62629503814477983</v>
      </c>
      <c r="L9" s="48">
        <f t="shared" ref="L9:L30" si="1">1-K9</f>
        <v>0.37370496185522017</v>
      </c>
      <c r="M9" s="23">
        <v>13322203</v>
      </c>
      <c r="N9" s="24">
        <v>22237797.775961999</v>
      </c>
      <c r="O9" s="24">
        <v>6907146</v>
      </c>
      <c r="P9" s="24">
        <v>7775515</v>
      </c>
      <c r="Q9" s="24">
        <v>6436841</v>
      </c>
      <c r="R9" s="24">
        <v>111198878.649048</v>
      </c>
    </row>
    <row r="10" spans="1:18" ht="15" x14ac:dyDescent="0.25">
      <c r="A10" s="20">
        <v>2002</v>
      </c>
      <c r="B10" s="21">
        <f t="shared" ref="B10:B27" si="2">B11*EXP(-C11/100)</f>
        <v>0.76109735096066899</v>
      </c>
      <c r="C10" s="25">
        <f t="shared" ref="C10:C30" si="3">D10-E10-F10</f>
        <v>4.5259673160682183</v>
      </c>
      <c r="D10" s="25">
        <f t="shared" ref="D10:D30" si="4">(LN(N10)-LN(N9))*100</f>
        <v>4.7187600583459499</v>
      </c>
      <c r="E10" s="25">
        <f t="shared" ref="E10:F30" si="5">I10*G10</f>
        <v>-0.54080157304551379</v>
      </c>
      <c r="F10" s="47">
        <f t="shared" si="5"/>
        <v>0.73359431532324471</v>
      </c>
      <c r="G10" s="25">
        <f t="shared" ref="G10:G30" si="6">(LN(P10)-LN(P9))*100</f>
        <v>-0.87275597858891274</v>
      </c>
      <c r="H10" s="25">
        <f t="shared" ref="H10:H30" si="7">(LN(R10)-LN(R9))*100</f>
        <v>1.9287251919706705</v>
      </c>
      <c r="I10" s="26">
        <f t="shared" ref="I10:J30" si="8">(K10+K9)/2</f>
        <v>0.61964808756726175</v>
      </c>
      <c r="J10" s="26">
        <f t="shared" si="8"/>
        <v>0.38035191243273825</v>
      </c>
      <c r="K10" s="22">
        <f t="shared" si="0"/>
        <v>0.61300113698974368</v>
      </c>
      <c r="L10" s="48">
        <f t="shared" si="1"/>
        <v>0.38699886301025632</v>
      </c>
      <c r="M10" s="23">
        <v>15141593</v>
      </c>
      <c r="N10" s="24">
        <v>23312298.273005601</v>
      </c>
      <c r="O10" s="24">
        <v>7692348</v>
      </c>
      <c r="P10" s="24">
        <v>7707949</v>
      </c>
      <c r="Q10" s="24">
        <v>6388000</v>
      </c>
      <c r="R10" s="24">
        <v>113364415.93543901</v>
      </c>
    </row>
    <row r="11" spans="1:18" ht="15" x14ac:dyDescent="0.25">
      <c r="A11" s="20">
        <v>2003</v>
      </c>
      <c r="B11" s="21">
        <f t="shared" si="2"/>
        <v>0.78545634126335639</v>
      </c>
      <c r="C11" s="25">
        <f t="shared" si="3"/>
        <v>3.1503600600933206</v>
      </c>
      <c r="D11" s="25">
        <f t="shared" si="4"/>
        <v>4.0148090685352855</v>
      </c>
      <c r="E11" s="25">
        <f t="shared" si="5"/>
        <v>0.28899391438880162</v>
      </c>
      <c r="F11" s="47">
        <f t="shared" si="5"/>
        <v>0.57545509405316331</v>
      </c>
      <c r="G11" s="25">
        <f t="shared" si="6"/>
        <v>0.46535609076290285</v>
      </c>
      <c r="H11" s="25">
        <f t="shared" si="7"/>
        <v>1.5184181692685428</v>
      </c>
      <c r="I11" s="26">
        <f t="shared" si="8"/>
        <v>0.62101672273167452</v>
      </c>
      <c r="J11" s="26">
        <f t="shared" si="8"/>
        <v>0.37898327726832548</v>
      </c>
      <c r="K11" s="22">
        <f t="shared" si="0"/>
        <v>0.62903230847360536</v>
      </c>
      <c r="L11" s="48">
        <f t="shared" si="1"/>
        <v>0.37096769152639464</v>
      </c>
      <c r="M11" s="23">
        <v>16421119</v>
      </c>
      <c r="N11" s="24">
        <v>24267284.706466701</v>
      </c>
      <c r="O11" s="24">
        <v>8700785</v>
      </c>
      <c r="P11" s="24">
        <v>7743902</v>
      </c>
      <c r="Q11" s="24">
        <v>6522928</v>
      </c>
      <c r="R11" s="24">
        <v>115098896.836116</v>
      </c>
    </row>
    <row r="12" spans="1:18" ht="15" x14ac:dyDescent="0.25">
      <c r="A12" s="20">
        <v>2004</v>
      </c>
      <c r="B12" s="21">
        <f t="shared" si="2"/>
        <v>0.82266421866796957</v>
      </c>
      <c r="C12" s="25">
        <f t="shared" si="3"/>
        <v>4.6283245337729086</v>
      </c>
      <c r="D12" s="25">
        <f t="shared" si="4"/>
        <v>4.8244837628026005</v>
      </c>
      <c r="E12" s="25">
        <f t="shared" si="5"/>
        <v>-0.51661563036789115</v>
      </c>
      <c r="F12" s="47">
        <f t="shared" si="5"/>
        <v>0.71277485939758289</v>
      </c>
      <c r="G12" s="25">
        <f t="shared" si="6"/>
        <v>-0.82016461379748051</v>
      </c>
      <c r="H12" s="25">
        <f t="shared" si="7"/>
        <v>1.9258595785018429</v>
      </c>
      <c r="I12" s="26">
        <f t="shared" si="8"/>
        <v>0.62989261140624708</v>
      </c>
      <c r="J12" s="26">
        <f t="shared" si="8"/>
        <v>0.37010738859375297</v>
      </c>
      <c r="K12" s="22">
        <f t="shared" si="0"/>
        <v>0.63075291433888869</v>
      </c>
      <c r="L12" s="48">
        <f t="shared" si="1"/>
        <v>0.36924708566111131</v>
      </c>
      <c r="M12" s="23">
        <v>18049858</v>
      </c>
      <c r="N12" s="24">
        <v>25466757.4556721</v>
      </c>
      <c r="O12" s="24">
        <v>9587323</v>
      </c>
      <c r="P12" s="24">
        <v>7680649</v>
      </c>
      <c r="Q12" s="24">
        <v>6467884</v>
      </c>
      <c r="R12" s="24">
        <v>117337022.36795899</v>
      </c>
    </row>
    <row r="13" spans="1:18" ht="15" x14ac:dyDescent="0.25">
      <c r="A13" s="20">
        <v>2005</v>
      </c>
      <c r="B13" s="21">
        <f t="shared" si="2"/>
        <v>0.86247795692208118</v>
      </c>
      <c r="C13" s="25">
        <f t="shared" si="3"/>
        <v>4.7261470721626084</v>
      </c>
      <c r="D13" s="25">
        <f t="shared" si="4"/>
        <v>4.141403156263479</v>
      </c>
      <c r="E13" s="25">
        <f t="shared" si="5"/>
        <v>-1.2839651903346021</v>
      </c>
      <c r="F13" s="47">
        <f t="shared" si="5"/>
        <v>0.69922127443547188</v>
      </c>
      <c r="G13" s="25">
        <f t="shared" si="6"/>
        <v>-2.0443072504640725</v>
      </c>
      <c r="H13" s="25">
        <f t="shared" si="7"/>
        <v>1.8799737591312038</v>
      </c>
      <c r="I13" s="26">
        <f t="shared" si="8"/>
        <v>0.62806859880927035</v>
      </c>
      <c r="J13" s="26">
        <f t="shared" si="8"/>
        <v>0.37193140119072965</v>
      </c>
      <c r="K13" s="22">
        <f t="shared" si="0"/>
        <v>0.62538428327965201</v>
      </c>
      <c r="L13" s="48">
        <f t="shared" si="1"/>
        <v>0.37461571672034799</v>
      </c>
      <c r="M13" s="23">
        <v>19450743</v>
      </c>
      <c r="N13" s="24">
        <v>26543582.4827765</v>
      </c>
      <c r="O13" s="24">
        <v>10425291</v>
      </c>
      <c r="P13" s="24">
        <v>7525227</v>
      </c>
      <c r="Q13" s="24">
        <v>6449479</v>
      </c>
      <c r="R13" s="24">
        <v>119563793.369867</v>
      </c>
    </row>
    <row r="14" spans="1:18" ht="15" x14ac:dyDescent="0.25">
      <c r="A14" s="20">
        <v>2006</v>
      </c>
      <c r="B14" s="21">
        <f t="shared" si="2"/>
        <v>0.89095466510636323</v>
      </c>
      <c r="C14" s="25">
        <f t="shared" si="3"/>
        <v>3.2483953876024891</v>
      </c>
      <c r="D14" s="25">
        <f t="shared" si="4"/>
        <v>3.8120881851440913</v>
      </c>
      <c r="E14" s="25">
        <f t="shared" si="5"/>
        <v>-0.1350292043855531</v>
      </c>
      <c r="F14" s="47">
        <f t="shared" si="5"/>
        <v>0.69872200192715539</v>
      </c>
      <c r="G14" s="25">
        <f t="shared" si="6"/>
        <v>-0.21847775267449521</v>
      </c>
      <c r="H14" s="25">
        <f t="shared" si="7"/>
        <v>1.8293333539691758</v>
      </c>
      <c r="I14" s="26">
        <f t="shared" si="8"/>
        <v>0.61804555719103305</v>
      </c>
      <c r="J14" s="26">
        <f t="shared" si="8"/>
        <v>0.38195444280896701</v>
      </c>
      <c r="K14" s="22">
        <f t="shared" si="0"/>
        <v>0.61070683110241397</v>
      </c>
      <c r="L14" s="48">
        <f t="shared" si="1"/>
        <v>0.38929316889758603</v>
      </c>
      <c r="M14" s="23">
        <v>21117353</v>
      </c>
      <c r="N14" s="24">
        <v>27574981.270675398</v>
      </c>
      <c r="O14" s="24">
        <v>11092947</v>
      </c>
      <c r="P14" s="24">
        <v>7508804</v>
      </c>
      <c r="Q14" s="24">
        <v>6458705</v>
      </c>
      <c r="R14" s="24">
        <v>121771142.04768699</v>
      </c>
    </row>
    <row r="15" spans="1:18" ht="15" x14ac:dyDescent="0.25">
      <c r="A15" s="20">
        <v>2007</v>
      </c>
      <c r="B15" s="21">
        <f t="shared" si="2"/>
        <v>0.89848906311465437</v>
      </c>
      <c r="C15" s="25">
        <f t="shared" si="3"/>
        <v>0.84209885042384836</v>
      </c>
      <c r="D15" s="25">
        <f t="shared" si="4"/>
        <v>0.27403506020249324</v>
      </c>
      <c r="E15" s="25">
        <f t="shared" si="5"/>
        <v>-1.2579794813894618</v>
      </c>
      <c r="F15" s="47">
        <f t="shared" si="5"/>
        <v>0.68991569116810669</v>
      </c>
      <c r="G15" s="25">
        <f t="shared" si="6"/>
        <v>-2.0542491414197173</v>
      </c>
      <c r="H15" s="25">
        <f t="shared" si="7"/>
        <v>1.7798728086415139</v>
      </c>
      <c r="I15" s="26">
        <f t="shared" si="8"/>
        <v>0.61237921731346401</v>
      </c>
      <c r="J15" s="26">
        <f t="shared" si="8"/>
        <v>0.38762078268653599</v>
      </c>
      <c r="K15" s="22">
        <f t="shared" si="0"/>
        <v>0.61405160352451404</v>
      </c>
      <c r="L15" s="48">
        <f t="shared" si="1"/>
        <v>0.38594839647548596</v>
      </c>
      <c r="M15" s="23">
        <v>22130723</v>
      </c>
      <c r="N15" s="24">
        <v>27650650.019298799</v>
      </c>
      <c r="O15" s="24">
        <v>11744388</v>
      </c>
      <c r="P15" s="24">
        <v>7356128</v>
      </c>
      <c r="Q15" s="24">
        <v>6357395</v>
      </c>
      <c r="R15" s="24">
        <v>123957916.667606</v>
      </c>
    </row>
    <row r="16" spans="1:18" ht="15" x14ac:dyDescent="0.25">
      <c r="A16" s="20">
        <v>2008</v>
      </c>
      <c r="B16" s="21">
        <f t="shared" si="2"/>
        <v>0.90932012711205068</v>
      </c>
      <c r="C16" s="25">
        <f t="shared" si="3"/>
        <v>1.1982673451767263</v>
      </c>
      <c r="D16" s="25">
        <f t="shared" si="4"/>
        <v>0.81985542884766005</v>
      </c>
      <c r="E16" s="25">
        <f t="shared" si="5"/>
        <v>-1.1106003349333948</v>
      </c>
      <c r="F16" s="47">
        <f t="shared" si="5"/>
        <v>0.73218841860432848</v>
      </c>
      <c r="G16" s="25">
        <f t="shared" si="6"/>
        <v>-1.8071736503840086</v>
      </c>
      <c r="H16" s="25">
        <f t="shared" si="7"/>
        <v>1.8995726478010511</v>
      </c>
      <c r="I16" s="26">
        <f t="shared" si="8"/>
        <v>0.6145509783729981</v>
      </c>
      <c r="J16" s="26">
        <f t="shared" si="8"/>
        <v>0.38544902162700184</v>
      </c>
      <c r="K16" s="22">
        <f t="shared" si="0"/>
        <v>0.61505035322148227</v>
      </c>
      <c r="L16" s="48">
        <f t="shared" si="1"/>
        <v>0.38494964677851773</v>
      </c>
      <c r="M16" s="23">
        <v>23329414</v>
      </c>
      <c r="N16" s="24">
        <v>27878277.2064997</v>
      </c>
      <c r="O16" s="24">
        <v>12334318</v>
      </c>
      <c r="P16" s="24">
        <v>7224384</v>
      </c>
      <c r="Q16" s="24">
        <v>6210141</v>
      </c>
      <c r="R16" s="24">
        <v>126335093.971514</v>
      </c>
    </row>
    <row r="17" spans="1:20" ht="15" x14ac:dyDescent="0.25">
      <c r="A17" s="20">
        <v>2009</v>
      </c>
      <c r="B17" s="21">
        <f t="shared" si="2"/>
        <v>0.8634324178614341</v>
      </c>
      <c r="C17" s="25">
        <f t="shared" si="3"/>
        <v>-5.178157805556312</v>
      </c>
      <c r="D17" s="25">
        <f t="shared" si="4"/>
        <v>-7.0589546504201905</v>
      </c>
      <c r="E17" s="25">
        <f t="shared" si="5"/>
        <v>-2.2738622973216649</v>
      </c>
      <c r="F17" s="47">
        <f t="shared" si="5"/>
        <v>0.39306545245778635</v>
      </c>
      <c r="G17" s="25">
        <f t="shared" si="6"/>
        <v>-3.7303186371005381</v>
      </c>
      <c r="H17" s="25">
        <f t="shared" si="7"/>
        <v>1.0067307497362066</v>
      </c>
      <c r="I17" s="26">
        <f t="shared" si="8"/>
        <v>0.60956248474502117</v>
      </c>
      <c r="J17" s="26">
        <f t="shared" si="8"/>
        <v>0.39043751525497877</v>
      </c>
      <c r="K17" s="22">
        <f t="shared" si="0"/>
        <v>0.60407461626856018</v>
      </c>
      <c r="L17" s="48">
        <f t="shared" si="1"/>
        <v>0.39592538373143982</v>
      </c>
      <c r="M17" s="23">
        <v>22495168</v>
      </c>
      <c r="N17" s="24">
        <v>25978213.496565599</v>
      </c>
      <c r="O17" s="24">
        <v>11893490</v>
      </c>
      <c r="P17" s="24">
        <v>6959856</v>
      </c>
      <c r="Q17" s="24">
        <v>6091577</v>
      </c>
      <c r="R17" s="24">
        <v>127613371.822152</v>
      </c>
    </row>
    <row r="18" spans="1:20" ht="15" x14ac:dyDescent="0.25">
      <c r="A18" s="20">
        <v>2010</v>
      </c>
      <c r="B18" s="21">
        <f t="shared" si="2"/>
        <v>0.87502384232613817</v>
      </c>
      <c r="C18" s="25">
        <f t="shared" si="3"/>
        <v>1.333550519551187</v>
      </c>
      <c r="D18" s="25">
        <f t="shared" si="4"/>
        <v>1.2768614034325054</v>
      </c>
      <c r="E18" s="25">
        <f t="shared" si="5"/>
        <v>-0.20419207071783074</v>
      </c>
      <c r="F18" s="47">
        <f t="shared" si="5"/>
        <v>0.14750295459914908</v>
      </c>
      <c r="G18" s="25">
        <f t="shared" si="6"/>
        <v>-0.34233086037520621</v>
      </c>
      <c r="H18" s="25">
        <f t="shared" si="7"/>
        <v>0.36553681613291644</v>
      </c>
      <c r="I18" s="26">
        <f t="shared" si="8"/>
        <v>0.59647579097610226</v>
      </c>
      <c r="J18" s="26">
        <f t="shared" si="8"/>
        <v>0.4035242090238978</v>
      </c>
      <c r="K18" s="22">
        <f t="shared" si="0"/>
        <v>0.58887696568364423</v>
      </c>
      <c r="L18" s="48">
        <f t="shared" si="1"/>
        <v>0.41112303431635577</v>
      </c>
      <c r="M18" s="23">
        <v>23275263</v>
      </c>
      <c r="N18" s="24">
        <v>26312046.031812299</v>
      </c>
      <c r="O18" s="24">
        <v>12009651</v>
      </c>
      <c r="P18" s="24">
        <v>6936071</v>
      </c>
      <c r="Q18" s="24">
        <v>6077497</v>
      </c>
      <c r="R18" s="24">
        <v>128080699.28507701</v>
      </c>
    </row>
    <row r="19" spans="1:20" ht="15" x14ac:dyDescent="0.25">
      <c r="A19" s="20">
        <v>2011</v>
      </c>
      <c r="B19" s="21">
        <f t="shared" si="2"/>
        <v>0.89603120309409234</v>
      </c>
      <c r="C19" s="25">
        <f t="shared" si="3"/>
        <v>2.372410289124419</v>
      </c>
      <c r="D19" s="25">
        <f t="shared" si="4"/>
        <v>1.9919338653011209</v>
      </c>
      <c r="E19" s="25">
        <f t="shared" si="5"/>
        <v>-0.47776200520175405</v>
      </c>
      <c r="F19" s="47">
        <f t="shared" si="5"/>
        <v>9.7285581378455929E-2</v>
      </c>
      <c r="G19" s="25">
        <f t="shared" si="6"/>
        <v>-0.81227832481989282</v>
      </c>
      <c r="H19" s="25">
        <f t="shared" si="7"/>
        <v>0.23623053476562461</v>
      </c>
      <c r="I19" s="26">
        <f t="shared" si="8"/>
        <v>0.58817524806868215</v>
      </c>
      <c r="J19" s="26">
        <f t="shared" si="8"/>
        <v>0.4118247519313179</v>
      </c>
      <c r="K19" s="22">
        <f t="shared" si="0"/>
        <v>0.58747353045371997</v>
      </c>
      <c r="L19" s="48">
        <f t="shared" si="1"/>
        <v>0.41252646954628003</v>
      </c>
      <c r="M19" s="23">
        <v>24239026</v>
      </c>
      <c r="N19" s="24">
        <v>26841419.468130302</v>
      </c>
      <c r="O19" s="24">
        <v>12462019</v>
      </c>
      <c r="P19" s="24">
        <v>6879959</v>
      </c>
      <c r="Q19" s="24">
        <v>6021030</v>
      </c>
      <c r="R19" s="24">
        <v>128383622.663817</v>
      </c>
    </row>
    <row r="20" spans="1:20" ht="15" x14ac:dyDescent="0.25">
      <c r="A20" s="20">
        <v>2012</v>
      </c>
      <c r="B20" s="21">
        <f t="shared" si="2"/>
        <v>0.88744819275420861</v>
      </c>
      <c r="C20" s="25">
        <f t="shared" si="3"/>
        <v>-0.96250919660914569</v>
      </c>
      <c r="D20" s="25">
        <f t="shared" si="4"/>
        <v>-1.3493442314480575</v>
      </c>
      <c r="E20" s="25">
        <f t="shared" si="5"/>
        <v>2.9204995532052309E-2</v>
      </c>
      <c r="F20" s="47">
        <f t="shared" si="5"/>
        <v>-0.41604003037096421</v>
      </c>
      <c r="G20" s="25">
        <f t="shared" si="6"/>
        <v>4.8927273789090009E-2</v>
      </c>
      <c r="H20" s="25">
        <f t="shared" si="7"/>
        <v>-1.0321172943555723</v>
      </c>
      <c r="I20" s="26">
        <f t="shared" si="8"/>
        <v>0.5969062502428768</v>
      </c>
      <c r="J20" s="26">
        <f t="shared" si="8"/>
        <v>0.40309374975712325</v>
      </c>
      <c r="K20" s="22">
        <f t="shared" si="0"/>
        <v>0.60633897003203352</v>
      </c>
      <c r="L20" s="48">
        <f t="shared" si="1"/>
        <v>0.39366102996796648</v>
      </c>
      <c r="M20" s="23">
        <v>24331977</v>
      </c>
      <c r="N20" s="24">
        <v>26481668.917934801</v>
      </c>
      <c r="O20" s="24">
        <v>12947999</v>
      </c>
      <c r="P20" s="24">
        <v>6883326</v>
      </c>
      <c r="Q20" s="24">
        <v>6040990</v>
      </c>
      <c r="R20" s="24">
        <v>127065367.76201101</v>
      </c>
    </row>
    <row r="21" spans="1:20" ht="15" x14ac:dyDescent="0.25">
      <c r="A21" s="20">
        <v>2013</v>
      </c>
      <c r="B21" s="21">
        <f t="shared" si="2"/>
        <v>0.89978128270441093</v>
      </c>
      <c r="C21" s="25">
        <f t="shared" si="3"/>
        <v>1.3801569288768212</v>
      </c>
      <c r="D21" s="25">
        <f t="shared" si="4"/>
        <v>2.6677288553596412</v>
      </c>
      <c r="E21" s="25">
        <f t="shared" si="5"/>
        <v>0.71760160813868534</v>
      </c>
      <c r="F21" s="47">
        <f t="shared" si="5"/>
        <v>0.5699703183441347</v>
      </c>
      <c r="G21" s="25">
        <f t="shared" si="6"/>
        <v>1.2062081603797736</v>
      </c>
      <c r="H21" s="25">
        <f t="shared" si="7"/>
        <v>1.4070684193807637</v>
      </c>
      <c r="I21" s="26">
        <f t="shared" si="8"/>
        <v>0.59492352291228823</v>
      </c>
      <c r="J21" s="26">
        <f t="shared" si="8"/>
        <v>0.40507647708771177</v>
      </c>
      <c r="K21" s="22">
        <f t="shared" si="0"/>
        <v>0.58350807579254294</v>
      </c>
      <c r="L21" s="48">
        <f t="shared" si="1"/>
        <v>0.41649192420745706</v>
      </c>
      <c r="M21" s="23">
        <v>25623570</v>
      </c>
      <c r="N21" s="24">
        <v>27197635.605034299</v>
      </c>
      <c r="O21" s="24">
        <v>13312151</v>
      </c>
      <c r="P21" s="24">
        <v>6966856</v>
      </c>
      <c r="Q21" s="24">
        <v>6202954</v>
      </c>
      <c r="R21" s="24">
        <v>128865902.092391</v>
      </c>
    </row>
    <row r="22" spans="1:20" ht="15" x14ac:dyDescent="0.25">
      <c r="A22" s="20">
        <v>2014</v>
      </c>
      <c r="B22" s="21">
        <f t="shared" si="2"/>
        <v>0.90953333892964261</v>
      </c>
      <c r="C22" s="25">
        <f t="shared" si="3"/>
        <v>1.0779939040575175</v>
      </c>
      <c r="D22" s="25">
        <f t="shared" si="4"/>
        <v>4.4882132054009816</v>
      </c>
      <c r="E22" s="25">
        <f t="shared" si="5"/>
        <v>2.9867172763726266</v>
      </c>
      <c r="F22" s="47">
        <f t="shared" si="5"/>
        <v>0.42350202497083744</v>
      </c>
      <c r="G22" s="25">
        <f t="shared" si="6"/>
        <v>5.2038137820945352</v>
      </c>
      <c r="H22" s="25">
        <f t="shared" si="7"/>
        <v>0.99401431944912133</v>
      </c>
      <c r="I22" s="26">
        <f t="shared" si="8"/>
        <v>0.57394776243712409</v>
      </c>
      <c r="J22" s="26">
        <f t="shared" si="8"/>
        <v>0.42605223756287591</v>
      </c>
      <c r="K22" s="22">
        <f t="shared" si="0"/>
        <v>0.56438744908170524</v>
      </c>
      <c r="L22" s="48">
        <f t="shared" si="1"/>
        <v>0.43561255091829476</v>
      </c>
      <c r="M22" s="23">
        <v>27740776</v>
      </c>
      <c r="N22" s="24">
        <v>28446131.481815301</v>
      </c>
      <c r="O22" s="24">
        <v>13995219</v>
      </c>
      <c r="P22" s="24">
        <v>7338997</v>
      </c>
      <c r="Q22" s="24">
        <v>6560251</v>
      </c>
      <c r="R22" s="24">
        <v>130153235.14982501</v>
      </c>
    </row>
    <row r="23" spans="1:20" ht="15" x14ac:dyDescent="0.25">
      <c r="A23" s="20">
        <v>2015</v>
      </c>
      <c r="B23" s="21">
        <f t="shared" si="2"/>
        <v>0.92638748474892929</v>
      </c>
      <c r="C23" s="25">
        <f t="shared" si="3"/>
        <v>1.8360943559601588</v>
      </c>
      <c r="D23" s="25">
        <f t="shared" si="4"/>
        <v>3.5676384289992313</v>
      </c>
      <c r="E23" s="25">
        <f t="shared" si="5"/>
        <v>1.2657009344848213</v>
      </c>
      <c r="F23" s="47">
        <f t="shared" si="5"/>
        <v>0.46584313855425108</v>
      </c>
      <c r="G23" s="25">
        <f t="shared" si="6"/>
        <v>2.2647054614830964</v>
      </c>
      <c r="H23" s="25">
        <f t="shared" si="7"/>
        <v>1.0560487681154029</v>
      </c>
      <c r="I23" s="26">
        <f t="shared" si="8"/>
        <v>0.55888103597186845</v>
      </c>
      <c r="J23" s="26">
        <f t="shared" si="8"/>
        <v>0.44111896402813155</v>
      </c>
      <c r="K23" s="22">
        <f t="shared" si="0"/>
        <v>0.55337462286203165</v>
      </c>
      <c r="L23" s="48">
        <f t="shared" si="1"/>
        <v>0.44662537713796835</v>
      </c>
      <c r="M23" s="23">
        <v>29479307</v>
      </c>
      <c r="N23" s="24">
        <v>29479307</v>
      </c>
      <c r="O23" s="24">
        <v>14642639</v>
      </c>
      <c r="P23" s="24">
        <v>7507100</v>
      </c>
      <c r="Q23" s="24">
        <v>6738373</v>
      </c>
      <c r="R23" s="24">
        <v>131535000</v>
      </c>
    </row>
    <row r="24" spans="1:20" ht="15" x14ac:dyDescent="0.25">
      <c r="A24" s="20">
        <v>2016</v>
      </c>
      <c r="B24" s="21">
        <f t="shared" si="2"/>
        <v>0.92672497862359382</v>
      </c>
      <c r="C24" s="25">
        <f t="shared" si="3"/>
        <v>3.6424543579160196E-2</v>
      </c>
      <c r="D24" s="25">
        <f t="shared" si="4"/>
        <v>2.5468240766354455</v>
      </c>
      <c r="E24" s="25">
        <f t="shared" si="5"/>
        <v>2.2807211899214526</v>
      </c>
      <c r="F24" s="47">
        <f t="shared" si="5"/>
        <v>0.22967834313483276</v>
      </c>
      <c r="G24" s="25">
        <f t="shared" si="6"/>
        <v>4.0886336870856965</v>
      </c>
      <c r="H24" s="25">
        <f t="shared" si="7"/>
        <v>0.51942260060044987</v>
      </c>
      <c r="I24" s="26">
        <f t="shared" si="8"/>
        <v>0.55781988910508362</v>
      </c>
      <c r="J24" s="26">
        <f t="shared" si="8"/>
        <v>0.44218011089491632</v>
      </c>
      <c r="K24" s="22">
        <f t="shared" si="0"/>
        <v>0.5622651553481357</v>
      </c>
      <c r="L24" s="48">
        <f t="shared" si="1"/>
        <v>0.4377348446518643</v>
      </c>
      <c r="M24" s="23">
        <v>30819577</v>
      </c>
      <c r="N24" s="24">
        <v>30239735.372041799</v>
      </c>
      <c r="O24" s="24">
        <v>15589854</v>
      </c>
      <c r="P24" s="24">
        <v>7820399</v>
      </c>
      <c r="Q24" s="24">
        <v>7035632</v>
      </c>
      <c r="R24" s="24">
        <v>132220000</v>
      </c>
    </row>
    <row r="25" spans="1:20" ht="15" x14ac:dyDescent="0.25">
      <c r="A25" s="20">
        <v>2017</v>
      </c>
      <c r="B25" s="21">
        <f t="shared" si="2"/>
        <v>0.95295666323706885</v>
      </c>
      <c r="C25" s="25">
        <f t="shared" si="3"/>
        <v>2.791258596827376</v>
      </c>
      <c r="D25" s="25">
        <f t="shared" si="4"/>
        <v>3.9444454921003569</v>
      </c>
      <c r="E25" s="25">
        <f t="shared" si="5"/>
        <v>0.51999357935792545</v>
      </c>
      <c r="F25" s="47">
        <f t="shared" si="5"/>
        <v>0.63319331591505545</v>
      </c>
      <c r="G25" s="25">
        <f t="shared" si="6"/>
        <v>0.92350131822449555</v>
      </c>
      <c r="H25" s="25">
        <f t="shared" si="7"/>
        <v>1.4491788028180963</v>
      </c>
      <c r="I25" s="26">
        <f t="shared" si="8"/>
        <v>0.56306750092967306</v>
      </c>
      <c r="J25" s="26">
        <f t="shared" si="8"/>
        <v>0.436932499070327</v>
      </c>
      <c r="K25" s="22">
        <f t="shared" si="0"/>
        <v>0.5638698465112103</v>
      </c>
      <c r="L25" s="48">
        <f t="shared" si="1"/>
        <v>0.4361301534887897</v>
      </c>
      <c r="M25" s="23">
        <v>33370173</v>
      </c>
      <c r="N25" s="24">
        <v>31456362.101686198</v>
      </c>
      <c r="O25" s="24">
        <v>16917661</v>
      </c>
      <c r="P25" s="24">
        <v>7892955</v>
      </c>
      <c r="Q25" s="24">
        <v>7096474</v>
      </c>
      <c r="R25" s="24">
        <v>134150055.412276</v>
      </c>
    </row>
    <row r="26" spans="1:20" ht="15" x14ac:dyDescent="0.25">
      <c r="A26" s="20">
        <v>2018</v>
      </c>
      <c r="B26" s="21">
        <f t="shared" si="2"/>
        <v>0.99489953618227134</v>
      </c>
      <c r="C26" s="25">
        <f t="shared" si="3"/>
        <v>4.3072334822603802</v>
      </c>
      <c r="D26" s="25">
        <f t="shared" si="4"/>
        <v>5.6863982856242501</v>
      </c>
      <c r="E26" s="25">
        <f t="shared" si="5"/>
        <v>0.43249940962665528</v>
      </c>
      <c r="F26" s="47">
        <f t="shared" si="5"/>
        <v>0.94666539373721437</v>
      </c>
      <c r="G26" s="25">
        <f t="shared" si="6"/>
        <v>0.77326445836849445</v>
      </c>
      <c r="H26" s="25">
        <f t="shared" si="7"/>
        <v>2.1481742498156819</v>
      </c>
      <c r="I26" s="26">
        <f t="shared" si="8"/>
        <v>0.55931629204733257</v>
      </c>
      <c r="J26" s="26">
        <f t="shared" si="8"/>
        <v>0.44068370795266743</v>
      </c>
      <c r="K26" s="22">
        <f t="shared" si="0"/>
        <v>0.55476273758345485</v>
      </c>
      <c r="L26" s="48">
        <f t="shared" si="1"/>
        <v>0.44523726241654515</v>
      </c>
      <c r="M26" s="23">
        <v>36809440</v>
      </c>
      <c r="N26" s="24">
        <v>33296931.2513486</v>
      </c>
      <c r="O26" s="24">
        <v>18339542</v>
      </c>
      <c r="P26" s="24">
        <v>7954225</v>
      </c>
      <c r="Q26" s="24">
        <v>7143645</v>
      </c>
      <c r="R26" s="24">
        <v>137063007.98933399</v>
      </c>
    </row>
    <row r="27" spans="1:20" ht="15" x14ac:dyDescent="0.25">
      <c r="A27" s="20">
        <f>A26+1</f>
        <v>2019</v>
      </c>
      <c r="B27" s="21">
        <f t="shared" si="2"/>
        <v>1.0289444146362059</v>
      </c>
      <c r="C27" s="25">
        <f t="shared" si="3"/>
        <v>3.3646952157030015</v>
      </c>
      <c r="D27" s="25">
        <f t="shared" si="4"/>
        <v>4.7935177263234152</v>
      </c>
      <c r="E27" s="25">
        <f t="shared" si="5"/>
        <v>0.22763916222793731</v>
      </c>
      <c r="F27" s="47">
        <f t="shared" si="5"/>
        <v>1.2011833483924759</v>
      </c>
      <c r="G27" s="25">
        <f t="shared" si="6"/>
        <v>0.41078541732595397</v>
      </c>
      <c r="H27" s="25">
        <f t="shared" si="7"/>
        <v>2.6941779551556522</v>
      </c>
      <c r="I27" s="26">
        <f t="shared" si="8"/>
        <v>0.554155898984379</v>
      </c>
      <c r="J27" s="26">
        <f t="shared" si="8"/>
        <v>0.445844101015621</v>
      </c>
      <c r="K27" s="22">
        <f t="shared" si="0"/>
        <v>0.55354906038530316</v>
      </c>
      <c r="L27" s="48">
        <f t="shared" si="1"/>
        <v>0.44645093961469684</v>
      </c>
      <c r="M27" s="23">
        <v>40533359</v>
      </c>
      <c r="N27" s="24">
        <v>34931898.726602003</v>
      </c>
      <c r="O27" s="24">
        <v>20179517</v>
      </c>
      <c r="P27" s="24">
        <v>7986967</v>
      </c>
      <c r="Q27" s="24">
        <v>7183299</v>
      </c>
      <c r="R27" s="24">
        <v>140805923.335513</v>
      </c>
    </row>
    <row r="28" spans="1:20" ht="15" x14ac:dyDescent="0.25">
      <c r="A28" s="20">
        <f t="shared" ref="A28:A30" si="9">A27+1</f>
        <v>2020</v>
      </c>
      <c r="B28" s="21">
        <v>1</v>
      </c>
      <c r="C28" s="25">
        <f t="shared" si="3"/>
        <v>-2.8533436574773487</v>
      </c>
      <c r="D28" s="25">
        <f t="shared" si="4"/>
        <v>-4.7185784192947722</v>
      </c>
      <c r="E28" s="25">
        <f t="shared" si="5"/>
        <v>-2.6859033426276495</v>
      </c>
      <c r="F28" s="47">
        <f t="shared" si="5"/>
        <v>0.8206685808102262</v>
      </c>
      <c r="G28" s="25">
        <f t="shared" si="6"/>
        <v>-4.8582897952988091</v>
      </c>
      <c r="H28" s="25">
        <f t="shared" si="7"/>
        <v>1.8353298910376736</v>
      </c>
      <c r="I28" s="26">
        <f t="shared" si="8"/>
        <v>0.55284955319600337</v>
      </c>
      <c r="J28" s="26">
        <f t="shared" si="8"/>
        <v>0.44715044680399663</v>
      </c>
      <c r="K28" s="22">
        <f t="shared" si="0"/>
        <v>0.55215004600670359</v>
      </c>
      <c r="L28" s="48">
        <f t="shared" si="1"/>
        <v>0.44784995399329641</v>
      </c>
      <c r="M28" s="23">
        <v>41249705</v>
      </c>
      <c r="N28" s="24">
        <v>33321893.092837401</v>
      </c>
      <c r="O28" s="24">
        <v>20494892</v>
      </c>
      <c r="P28" s="24">
        <v>7608212</v>
      </c>
      <c r="Q28" s="24">
        <v>6846211</v>
      </c>
      <c r="R28" s="24">
        <v>143414037.07020399</v>
      </c>
    </row>
    <row r="29" spans="1:20" ht="15" x14ac:dyDescent="0.25">
      <c r="A29" s="20">
        <f t="shared" si="9"/>
        <v>2021</v>
      </c>
      <c r="B29" s="21">
        <f>B28*EXP(C29/100)</f>
        <v>1.045492756284617</v>
      </c>
      <c r="C29" s="25">
        <f t="shared" si="3"/>
        <v>4.4488311392551116</v>
      </c>
      <c r="D29" s="25">
        <f t="shared" si="4"/>
        <v>7.3519807059483355</v>
      </c>
      <c r="E29" s="25">
        <f t="shared" si="5"/>
        <v>2.0019505845114289</v>
      </c>
      <c r="F29" s="47">
        <f t="shared" si="5"/>
        <v>0.90119898218179562</v>
      </c>
      <c r="G29" s="25">
        <f t="shared" si="6"/>
        <v>3.6798903686392492</v>
      </c>
      <c r="H29" s="25">
        <f t="shared" si="7"/>
        <v>1.9764198251500886</v>
      </c>
      <c r="I29" s="26">
        <f t="shared" si="8"/>
        <v>0.5440245181140303</v>
      </c>
      <c r="J29" s="26">
        <f t="shared" si="8"/>
        <v>0.4559754818859697</v>
      </c>
      <c r="K29" s="22">
        <f t="shared" si="0"/>
        <v>0.53589899022135701</v>
      </c>
      <c r="L29" s="48">
        <f t="shared" si="1"/>
        <v>0.46410100977864299</v>
      </c>
      <c r="M29" s="23">
        <v>47072358</v>
      </c>
      <c r="N29" s="24">
        <v>35864015.471818097</v>
      </c>
      <c r="O29" s="24">
        <v>22588044</v>
      </c>
      <c r="P29" s="24">
        <v>7893401</v>
      </c>
      <c r="Q29" s="24">
        <v>7067957</v>
      </c>
      <c r="R29" s="24">
        <v>146276696.429894</v>
      </c>
    </row>
    <row r="30" spans="1:20" ht="15" x14ac:dyDescent="0.25">
      <c r="A30" s="20">
        <f t="shared" si="9"/>
        <v>2022</v>
      </c>
      <c r="B30" s="27">
        <f t="shared" ref="B30" si="10">B29*EXP(C30/100)</f>
        <v>1.0722063514334434</v>
      </c>
      <c r="C30" s="28">
        <f t="shared" si="3"/>
        <v>2.5230224740658667</v>
      </c>
      <c r="D30" s="25">
        <f t="shared" si="4"/>
        <v>4.4586545046293224</v>
      </c>
      <c r="E30" s="28">
        <f t="shared" si="5"/>
        <v>1.0994911483637966</v>
      </c>
      <c r="F30" s="51">
        <f t="shared" si="5"/>
        <v>0.83614088219965943</v>
      </c>
      <c r="G30" s="25">
        <f t="shared" si="6"/>
        <v>2.055303230092953</v>
      </c>
      <c r="H30" s="25">
        <f t="shared" si="7"/>
        <v>1.7979716817229985</v>
      </c>
      <c r="I30" s="26">
        <f t="shared" si="8"/>
        <v>0.53495325276848371</v>
      </c>
      <c r="J30" s="26">
        <f t="shared" si="8"/>
        <v>0.46504674723151623</v>
      </c>
      <c r="K30" s="22">
        <f t="shared" si="0"/>
        <v>0.53400751531561053</v>
      </c>
      <c r="L30" s="48">
        <f t="shared" si="1"/>
        <v>0.46599248468438947</v>
      </c>
      <c r="M30" s="23">
        <v>56251444</v>
      </c>
      <c r="N30" s="23">
        <v>37499251.894666299</v>
      </c>
      <c r="O30" s="23">
        <v>26850410</v>
      </c>
      <c r="P30" s="24">
        <v>8057313</v>
      </c>
      <c r="Q30" s="24">
        <v>7202116</v>
      </c>
      <c r="R30" s="24">
        <v>148930495.79842499</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298C9-D9F5-42E7-BD1B-1FE2AFE73C58}">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72</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0.61875032026746446</v>
      </c>
      <c r="L9" s="48">
        <f t="shared" ref="L9:L30" si="1">1-K9</f>
        <v>0.38124967973253554</v>
      </c>
      <c r="M9" s="23">
        <v>3783.9875529999999</v>
      </c>
      <c r="N9" s="24">
        <v>5237.1261032457896</v>
      </c>
      <c r="O9" s="24">
        <v>1945.266529</v>
      </c>
      <c r="P9" s="24">
        <v>327438.33811200003</v>
      </c>
      <c r="Q9" s="24">
        <v>272046.72729000001</v>
      </c>
      <c r="R9" s="24">
        <v>14710.5608516639</v>
      </c>
    </row>
    <row r="10" spans="1:18" ht="15" x14ac:dyDescent="0.25">
      <c r="A10" s="20">
        <v>2002</v>
      </c>
      <c r="B10" s="21">
        <f t="shared" ref="B10:B27" si="2">B11*EXP(-C11/100)</f>
        <v>0.7311543396358744</v>
      </c>
      <c r="C10" s="25">
        <f t="shared" ref="C10:C30" si="3">D10-E10-F10</f>
        <v>3.1940709449346705</v>
      </c>
      <c r="D10" s="25">
        <f t="shared" ref="D10:D30" si="4">(LN(N10)-LN(N9))*100</f>
        <v>3.4817321128675971</v>
      </c>
      <c r="E10" s="25">
        <f t="shared" ref="E10:F30" si="5">I10*G10</f>
        <v>0.32051188056588825</v>
      </c>
      <c r="F10" s="47">
        <f t="shared" si="5"/>
        <v>-3.2850712632961583E-2</v>
      </c>
      <c r="G10" s="25">
        <f t="shared" ref="G10:G30" si="6">(LN(P10)-LN(P9))*100</f>
        <v>0.51841316496581413</v>
      </c>
      <c r="H10" s="25">
        <f t="shared" ref="H10:H30" si="7">(LN(R10)-LN(R9))*100</f>
        <v>-8.6054226272835876E-2</v>
      </c>
      <c r="I10" s="26">
        <f t="shared" ref="I10:J30" si="8">(K10+K9)/2</f>
        <v>0.61825567370964407</v>
      </c>
      <c r="J10" s="26">
        <f t="shared" si="8"/>
        <v>0.38174432629035598</v>
      </c>
      <c r="K10" s="22">
        <f t="shared" si="0"/>
        <v>0.61776102715182357</v>
      </c>
      <c r="L10" s="48">
        <f t="shared" si="1"/>
        <v>0.38223897284817643</v>
      </c>
      <c r="M10" s="23">
        <v>3981.5651979999998</v>
      </c>
      <c r="N10" s="24">
        <v>5422.6803103844704</v>
      </c>
      <c r="O10" s="24">
        <v>2023.3741669999999</v>
      </c>
      <c r="P10" s="24">
        <v>329140.22916599998</v>
      </c>
      <c r="Q10" s="24">
        <v>270758.955495</v>
      </c>
      <c r="R10" s="24">
        <v>14697.9072376083</v>
      </c>
    </row>
    <row r="11" spans="1:18" ht="15" x14ac:dyDescent="0.25">
      <c r="A11" s="20">
        <v>2003</v>
      </c>
      <c r="B11" s="21">
        <f t="shared" si="2"/>
        <v>0.75649374995531493</v>
      </c>
      <c r="C11" s="25">
        <f t="shared" si="3"/>
        <v>3.4069699006822605</v>
      </c>
      <c r="D11" s="25">
        <f t="shared" si="4"/>
        <v>4.3784829644582857</v>
      </c>
      <c r="E11" s="25">
        <f t="shared" si="5"/>
        <v>0.11798379366647956</v>
      </c>
      <c r="F11" s="47">
        <f t="shared" si="5"/>
        <v>0.8535292701095456</v>
      </c>
      <c r="G11" s="25">
        <f t="shared" si="6"/>
        <v>0.19168486745773095</v>
      </c>
      <c r="H11" s="25">
        <f t="shared" si="7"/>
        <v>2.2198949974004734</v>
      </c>
      <c r="I11" s="26">
        <f t="shared" si="8"/>
        <v>0.61550916997919281</v>
      </c>
      <c r="J11" s="26">
        <f t="shared" si="8"/>
        <v>0.38449083002080719</v>
      </c>
      <c r="K11" s="22">
        <f t="shared" si="0"/>
        <v>0.61325731280656204</v>
      </c>
      <c r="L11" s="48">
        <f t="shared" si="1"/>
        <v>0.38674268719343796</v>
      </c>
      <c r="M11" s="23">
        <v>4224.8207910000001</v>
      </c>
      <c r="N11" s="24">
        <v>5665.3860862567699</v>
      </c>
      <c r="O11" s="24">
        <v>2135.5763320000001</v>
      </c>
      <c r="P11" s="24">
        <v>329771.746246</v>
      </c>
      <c r="Q11" s="24">
        <v>271817.56374700001</v>
      </c>
      <c r="R11" s="24">
        <v>15027.8338081243</v>
      </c>
    </row>
    <row r="12" spans="1:18" ht="15" x14ac:dyDescent="0.25">
      <c r="A12" s="20">
        <v>2004</v>
      </c>
      <c r="B12" s="21">
        <f t="shared" si="2"/>
        <v>0.75957543500644398</v>
      </c>
      <c r="C12" s="25">
        <f t="shared" si="3"/>
        <v>0.40653676309781761</v>
      </c>
      <c r="D12" s="25">
        <f t="shared" si="4"/>
        <v>-1.0455158114943686</v>
      </c>
      <c r="E12" s="25">
        <f t="shared" si="5"/>
        <v>-2.1451539396986186</v>
      </c>
      <c r="F12" s="47">
        <f t="shared" si="5"/>
        <v>0.69310136510643239</v>
      </c>
      <c r="G12" s="25">
        <f t="shared" si="6"/>
        <v>-3.4829860915108313</v>
      </c>
      <c r="H12" s="25">
        <f t="shared" si="7"/>
        <v>1.8044583630336675</v>
      </c>
      <c r="I12" s="26">
        <f t="shared" si="8"/>
        <v>0.61589506341327505</v>
      </c>
      <c r="J12" s="26">
        <f t="shared" si="8"/>
        <v>0.38410493658672495</v>
      </c>
      <c r="K12" s="22">
        <f t="shared" si="0"/>
        <v>0.61853281401998805</v>
      </c>
      <c r="L12" s="48">
        <f t="shared" si="1"/>
        <v>0.38146718598001195</v>
      </c>
      <c r="M12" s="23">
        <v>4294.2759109999997</v>
      </c>
      <c r="N12" s="24">
        <v>5606.4621452513902</v>
      </c>
      <c r="O12" s="24">
        <v>2186.6322789999999</v>
      </c>
      <c r="P12" s="24">
        <v>318483.56619699998</v>
      </c>
      <c r="Q12" s="24">
        <v>262186.35937700002</v>
      </c>
      <c r="R12" s="24">
        <v>15301.466178475601</v>
      </c>
    </row>
    <row r="13" spans="1:18" ht="15" x14ac:dyDescent="0.25">
      <c r="A13" s="20">
        <v>2005</v>
      </c>
      <c r="B13" s="21">
        <f t="shared" si="2"/>
        <v>0.75227722852660861</v>
      </c>
      <c r="C13" s="25">
        <f t="shared" si="3"/>
        <v>-0.96547280656385981</v>
      </c>
      <c r="D13" s="25">
        <f t="shared" si="4"/>
        <v>0.67027565106325682</v>
      </c>
      <c r="E13" s="25">
        <f t="shared" si="5"/>
        <v>0.60937830213904243</v>
      </c>
      <c r="F13" s="47">
        <f t="shared" si="5"/>
        <v>1.0263701554880742</v>
      </c>
      <c r="G13" s="25">
        <f t="shared" si="6"/>
        <v>0.99038814509722073</v>
      </c>
      <c r="H13" s="25">
        <f t="shared" si="7"/>
        <v>2.6679227669941241</v>
      </c>
      <c r="I13" s="26">
        <f t="shared" si="8"/>
        <v>0.61529240344372582</v>
      </c>
      <c r="J13" s="26">
        <f t="shared" si="8"/>
        <v>0.38470759655627418</v>
      </c>
      <c r="K13" s="22">
        <f t="shared" si="0"/>
        <v>0.61205199286746359</v>
      </c>
      <c r="L13" s="48">
        <f t="shared" si="1"/>
        <v>0.38794800713253641</v>
      </c>
      <c r="M13" s="23">
        <v>4463.2136090000004</v>
      </c>
      <c r="N13" s="24">
        <v>5644.1671183600802</v>
      </c>
      <c r="O13" s="24">
        <v>2249.7904250000001</v>
      </c>
      <c r="P13" s="24">
        <v>321653.46090100001</v>
      </c>
      <c r="Q13" s="24">
        <v>264907.530287</v>
      </c>
      <c r="R13" s="24">
        <v>15715.191879530899</v>
      </c>
    </row>
    <row r="14" spans="1:18" ht="15" x14ac:dyDescent="0.25">
      <c r="A14" s="20">
        <v>2006</v>
      </c>
      <c r="B14" s="21">
        <f t="shared" si="2"/>
        <v>0.75986575902527842</v>
      </c>
      <c r="C14" s="25">
        <f t="shared" si="3"/>
        <v>1.0036873848585377</v>
      </c>
      <c r="D14" s="25">
        <f t="shared" si="4"/>
        <v>2.7692589619784158</v>
      </c>
      <c r="E14" s="25">
        <f t="shared" si="5"/>
        <v>1.3354114192669944</v>
      </c>
      <c r="F14" s="47">
        <f t="shared" si="5"/>
        <v>0.4301601578528837</v>
      </c>
      <c r="G14" s="25">
        <f t="shared" si="6"/>
        <v>2.1641078936571745</v>
      </c>
      <c r="H14" s="25">
        <f t="shared" si="7"/>
        <v>1.1233461489398522</v>
      </c>
      <c r="I14" s="26">
        <f t="shared" si="8"/>
        <v>0.61707247738478166</v>
      </c>
      <c r="J14" s="26">
        <f t="shared" si="8"/>
        <v>0.38292752261521834</v>
      </c>
      <c r="K14" s="22">
        <f t="shared" si="0"/>
        <v>0.62209296190209973</v>
      </c>
      <c r="L14" s="48">
        <f t="shared" si="1"/>
        <v>0.37790703809790027</v>
      </c>
      <c r="M14" s="23">
        <v>4676.0112440000003</v>
      </c>
      <c r="N14" s="24">
        <v>5802.6530366917796</v>
      </c>
      <c r="O14" s="24">
        <v>2396.838475</v>
      </c>
      <c r="P14" s="24">
        <v>328690.25612899999</v>
      </c>
      <c r="Q14" s="24">
        <v>270828.74833999999</v>
      </c>
      <c r="R14" s="24">
        <v>15892.723160818699</v>
      </c>
    </row>
    <row r="15" spans="1:18" ht="15" x14ac:dyDescent="0.25">
      <c r="A15" s="20">
        <v>2007</v>
      </c>
      <c r="B15" s="21">
        <f t="shared" si="2"/>
        <v>0.77129251855177938</v>
      </c>
      <c r="C15" s="25">
        <f t="shared" si="3"/>
        <v>1.4925918285179218</v>
      </c>
      <c r="D15" s="25">
        <f t="shared" si="4"/>
        <v>5.4243410953723981</v>
      </c>
      <c r="E15" s="25">
        <f t="shared" si="5"/>
        <v>2.0515121574342601</v>
      </c>
      <c r="F15" s="47">
        <f t="shared" si="5"/>
        <v>1.8802371094202162</v>
      </c>
      <c r="G15" s="25">
        <f t="shared" si="6"/>
        <v>3.341690994915858</v>
      </c>
      <c r="H15" s="25">
        <f t="shared" si="7"/>
        <v>4.870000370739902</v>
      </c>
      <c r="I15" s="26">
        <f t="shared" si="8"/>
        <v>0.61391438064006754</v>
      </c>
      <c r="J15" s="26">
        <f t="shared" si="8"/>
        <v>0.38608561935993252</v>
      </c>
      <c r="K15" s="22">
        <f t="shared" si="0"/>
        <v>0.60573579937803523</v>
      </c>
      <c r="L15" s="48">
        <f t="shared" si="1"/>
        <v>0.39426420062196477</v>
      </c>
      <c r="M15" s="23">
        <v>5040.0364140000001</v>
      </c>
      <c r="N15" s="24">
        <v>6126.1019107176398</v>
      </c>
      <c r="O15" s="24">
        <v>2523.5138910000001</v>
      </c>
      <c r="P15" s="24">
        <v>339859.65280400001</v>
      </c>
      <c r="Q15" s="24">
        <v>280923.70879</v>
      </c>
      <c r="R15" s="24">
        <v>16685.854846656301</v>
      </c>
    </row>
    <row r="16" spans="1:18" ht="15" x14ac:dyDescent="0.25">
      <c r="A16" s="20">
        <v>2008</v>
      </c>
      <c r="B16" s="21">
        <f t="shared" si="2"/>
        <v>0.78728240674509664</v>
      </c>
      <c r="C16" s="25">
        <f t="shared" si="3"/>
        <v>2.0519320521677571</v>
      </c>
      <c r="D16" s="25">
        <f t="shared" si="4"/>
        <v>4.8888672066778938</v>
      </c>
      <c r="E16" s="25">
        <f t="shared" si="5"/>
        <v>1.6045164915328989</v>
      </c>
      <c r="F16" s="47">
        <f t="shared" si="5"/>
        <v>1.2324186629772376</v>
      </c>
      <c r="G16" s="25">
        <f t="shared" si="6"/>
        <v>2.6781817210993708</v>
      </c>
      <c r="H16" s="25">
        <f t="shared" si="7"/>
        <v>3.0741808945979443</v>
      </c>
      <c r="I16" s="26">
        <f t="shared" si="8"/>
        <v>0.59910665467250612</v>
      </c>
      <c r="J16" s="26">
        <f t="shared" si="8"/>
        <v>0.40089334532749382</v>
      </c>
      <c r="K16" s="22">
        <f t="shared" si="0"/>
        <v>0.59247750996697712</v>
      </c>
      <c r="L16" s="48">
        <f t="shared" si="1"/>
        <v>0.40752249003302288</v>
      </c>
      <c r="M16" s="23">
        <v>5492.2876379999998</v>
      </c>
      <c r="N16" s="24">
        <v>6433.0406803530204</v>
      </c>
      <c r="O16" s="24">
        <v>2704.917629</v>
      </c>
      <c r="P16" s="24">
        <v>349084.69216799998</v>
      </c>
      <c r="Q16" s="24">
        <v>290174.80817899999</v>
      </c>
      <c r="R16" s="24">
        <v>17206.774185543702</v>
      </c>
    </row>
    <row r="17" spans="1:20" ht="15" x14ac:dyDescent="0.25">
      <c r="A17" s="20">
        <v>2009</v>
      </c>
      <c r="B17" s="21">
        <f t="shared" si="2"/>
        <v>0.78041385025511045</v>
      </c>
      <c r="C17" s="25">
        <f t="shared" si="3"/>
        <v>-0.87626673968987401</v>
      </c>
      <c r="D17" s="25">
        <f t="shared" si="4"/>
        <v>0.55480958832436755</v>
      </c>
      <c r="E17" s="25">
        <f t="shared" si="5"/>
        <v>8.1197650589812459E-2</v>
      </c>
      <c r="F17" s="47">
        <f t="shared" si="5"/>
        <v>1.3498786774244291</v>
      </c>
      <c r="G17" s="25">
        <f t="shared" si="6"/>
        <v>0.13560260815150826</v>
      </c>
      <c r="H17" s="25">
        <f t="shared" si="7"/>
        <v>3.3645292184868225</v>
      </c>
      <c r="I17" s="26">
        <f t="shared" si="8"/>
        <v>0.59879121571976435</v>
      </c>
      <c r="J17" s="26">
        <f t="shared" si="8"/>
        <v>0.4012087842802356</v>
      </c>
      <c r="K17" s="22">
        <f t="shared" si="0"/>
        <v>0.60510492147255168</v>
      </c>
      <c r="L17" s="48">
        <f t="shared" si="1"/>
        <v>0.39489507852744832</v>
      </c>
      <c r="M17" s="23">
        <v>5505.8925719999997</v>
      </c>
      <c r="N17" s="24">
        <v>6468.8309991223396</v>
      </c>
      <c r="O17" s="24">
        <v>2760.8785360000002</v>
      </c>
      <c r="P17" s="24">
        <v>349558.38121000002</v>
      </c>
      <c r="Q17" s="24">
        <v>289673.38963400002</v>
      </c>
      <c r="R17" s="24">
        <v>17795.550363392402</v>
      </c>
    </row>
    <row r="18" spans="1:20" ht="15" x14ac:dyDescent="0.25">
      <c r="A18" s="20">
        <v>2010</v>
      </c>
      <c r="B18" s="21">
        <f t="shared" si="2"/>
        <v>0.82177339201010369</v>
      </c>
      <c r="C18" s="25">
        <f t="shared" si="3"/>
        <v>5.1640322002525583</v>
      </c>
      <c r="D18" s="25">
        <f t="shared" si="4"/>
        <v>5.5994335876897949</v>
      </c>
      <c r="E18" s="25">
        <f t="shared" si="5"/>
        <v>-0.58572410695861421</v>
      </c>
      <c r="F18" s="47">
        <f t="shared" si="5"/>
        <v>1.0211254943958505</v>
      </c>
      <c r="G18" s="25">
        <f t="shared" si="6"/>
        <v>-0.98537434235872468</v>
      </c>
      <c r="H18" s="25">
        <f t="shared" si="7"/>
        <v>2.5176786434235154</v>
      </c>
      <c r="I18" s="26">
        <f t="shared" si="8"/>
        <v>0.59441785906110178</v>
      </c>
      <c r="J18" s="26">
        <f t="shared" si="8"/>
        <v>0.40558214093889827</v>
      </c>
      <c r="K18" s="22">
        <f t="shared" si="0"/>
        <v>0.58373079664965177</v>
      </c>
      <c r="L18" s="48">
        <f t="shared" si="1"/>
        <v>0.41626920335034823</v>
      </c>
      <c r="M18" s="23">
        <v>6053.2160270000004</v>
      </c>
      <c r="N18" s="24">
        <v>6841.3819306161904</v>
      </c>
      <c r="O18" s="24">
        <v>2896.4544139999998</v>
      </c>
      <c r="P18" s="24">
        <v>346130.83741199999</v>
      </c>
      <c r="Q18" s="24">
        <v>283731.929183</v>
      </c>
      <c r="R18" s="24">
        <v>18249.272804347202</v>
      </c>
    </row>
    <row r="19" spans="1:20" ht="15" x14ac:dyDescent="0.25">
      <c r="A19" s="20">
        <v>2011</v>
      </c>
      <c r="B19" s="21">
        <f t="shared" si="2"/>
        <v>0.80888018793043237</v>
      </c>
      <c r="C19" s="25">
        <f t="shared" si="3"/>
        <v>-1.5813871112715481</v>
      </c>
      <c r="D19" s="25">
        <f t="shared" si="4"/>
        <v>-0.91288299322140887</v>
      </c>
      <c r="E19" s="25">
        <f t="shared" si="5"/>
        <v>-0.17161160629346017</v>
      </c>
      <c r="F19" s="47">
        <f t="shared" si="5"/>
        <v>0.84011572434359938</v>
      </c>
      <c r="G19" s="25">
        <f t="shared" si="6"/>
        <v>-0.28759723455138442</v>
      </c>
      <c r="H19" s="25">
        <f t="shared" si="7"/>
        <v>2.0831456677292692</v>
      </c>
      <c r="I19" s="26">
        <f t="shared" si="8"/>
        <v>0.59670812398857986</v>
      </c>
      <c r="J19" s="26">
        <f t="shared" si="8"/>
        <v>0.40329187601142008</v>
      </c>
      <c r="K19" s="22">
        <f t="shared" si="0"/>
        <v>0.60968545132750807</v>
      </c>
      <c r="L19" s="48">
        <f t="shared" si="1"/>
        <v>0.39031454867249193</v>
      </c>
      <c r="M19" s="23">
        <v>6151.1272859999999</v>
      </c>
      <c r="N19" s="24">
        <v>6779.2123181241996</v>
      </c>
      <c r="O19" s="24">
        <v>3094.6528619999999</v>
      </c>
      <c r="P19" s="24">
        <v>345136.80478599999</v>
      </c>
      <c r="Q19" s="24">
        <v>284801.75957400003</v>
      </c>
      <c r="R19" s="24">
        <v>18633.419011121601</v>
      </c>
    </row>
    <row r="20" spans="1:20" ht="15" x14ac:dyDescent="0.25">
      <c r="A20" s="20">
        <v>2012</v>
      </c>
      <c r="B20" s="21">
        <f t="shared" si="2"/>
        <v>0.8367362719498409</v>
      </c>
      <c r="C20" s="25">
        <f t="shared" si="3"/>
        <v>3.3858126445625745</v>
      </c>
      <c r="D20" s="25">
        <f t="shared" si="4"/>
        <v>4.6668120342582498</v>
      </c>
      <c r="E20" s="25">
        <f t="shared" si="5"/>
        <v>0.48826345718797814</v>
      </c>
      <c r="F20" s="47">
        <f t="shared" si="5"/>
        <v>0.79273593250769714</v>
      </c>
      <c r="G20" s="25">
        <f t="shared" si="6"/>
        <v>0.81094671268875373</v>
      </c>
      <c r="H20" s="25">
        <f t="shared" si="7"/>
        <v>1.9922527355802799</v>
      </c>
      <c r="I20" s="26">
        <f t="shared" si="8"/>
        <v>0.60209067938521454</v>
      </c>
      <c r="J20" s="26">
        <f t="shared" si="8"/>
        <v>0.39790932061478551</v>
      </c>
      <c r="K20" s="22">
        <f t="shared" si="0"/>
        <v>0.59449590744292091</v>
      </c>
      <c r="L20" s="48">
        <f t="shared" si="1"/>
        <v>0.40550409255707909</v>
      </c>
      <c r="M20" s="23">
        <v>6592.5935959999997</v>
      </c>
      <c r="N20" s="24">
        <v>7103.0838745822903</v>
      </c>
      <c r="O20" s="24">
        <v>3272.613292</v>
      </c>
      <c r="P20" s="24">
        <v>347947.05979299999</v>
      </c>
      <c r="Q20" s="24">
        <v>290537.82931100001</v>
      </c>
      <c r="R20" s="24">
        <v>19008.366358976898</v>
      </c>
    </row>
    <row r="21" spans="1:20" ht="15" x14ac:dyDescent="0.25">
      <c r="A21" s="20">
        <v>2013</v>
      </c>
      <c r="B21" s="21">
        <f t="shared" si="2"/>
        <v>0.8800838090833647</v>
      </c>
      <c r="C21" s="25">
        <f t="shared" si="3"/>
        <v>5.0508206969298959</v>
      </c>
      <c r="D21" s="25">
        <f t="shared" si="4"/>
        <v>7.4535824948936735</v>
      </c>
      <c r="E21" s="25">
        <f t="shared" si="5"/>
        <v>2.0085292439560014</v>
      </c>
      <c r="F21" s="47">
        <f t="shared" si="5"/>
        <v>0.39423255400777663</v>
      </c>
      <c r="G21" s="25">
        <f t="shared" si="6"/>
        <v>3.4128880491815394</v>
      </c>
      <c r="H21" s="25">
        <f t="shared" si="7"/>
        <v>0.95806824236444044</v>
      </c>
      <c r="I21" s="26">
        <f t="shared" si="8"/>
        <v>0.58851307602594116</v>
      </c>
      <c r="J21" s="26">
        <f t="shared" si="8"/>
        <v>0.41148692397405878</v>
      </c>
      <c r="K21" s="22">
        <f t="shared" si="0"/>
        <v>0.58253024460896152</v>
      </c>
      <c r="L21" s="48">
        <f t="shared" si="1"/>
        <v>0.41746975539103848</v>
      </c>
      <c r="M21" s="23">
        <v>7204.2750759999999</v>
      </c>
      <c r="N21" s="24">
        <v>7652.7484913423596</v>
      </c>
      <c r="O21" s="24">
        <v>3497.3471749999999</v>
      </c>
      <c r="P21" s="24">
        <v>360027.069494</v>
      </c>
      <c r="Q21" s="24">
        <v>300030.31369799998</v>
      </c>
      <c r="R21" s="24">
        <v>19191.3546571427</v>
      </c>
    </row>
    <row r="22" spans="1:20" ht="15" x14ac:dyDescent="0.25">
      <c r="A22" s="20">
        <v>2014</v>
      </c>
      <c r="B22" s="21">
        <f t="shared" si="2"/>
        <v>0.937320416810003</v>
      </c>
      <c r="C22" s="25">
        <f t="shared" si="3"/>
        <v>6.3008043560650027</v>
      </c>
      <c r="D22" s="25">
        <f t="shared" si="4"/>
        <v>8.7319386843127234</v>
      </c>
      <c r="E22" s="25">
        <f t="shared" si="5"/>
        <v>1.7812291622822034</v>
      </c>
      <c r="F22" s="47">
        <f t="shared" si="5"/>
        <v>0.64990516596551751</v>
      </c>
      <c r="G22" s="25">
        <f t="shared" si="6"/>
        <v>3.0854909954728171</v>
      </c>
      <c r="H22" s="25">
        <f t="shared" si="7"/>
        <v>1.5374800415591139</v>
      </c>
      <c r="I22" s="26">
        <f t="shared" si="8"/>
        <v>0.57729196581539521</v>
      </c>
      <c r="J22" s="26">
        <f t="shared" si="8"/>
        <v>0.42270803418460479</v>
      </c>
      <c r="K22" s="22">
        <f t="shared" si="0"/>
        <v>0.5720536870218289</v>
      </c>
      <c r="L22" s="48">
        <f t="shared" si="1"/>
        <v>0.4279463129781711</v>
      </c>
      <c r="M22" s="23">
        <v>7913.5461400000004</v>
      </c>
      <c r="N22" s="24">
        <v>8351.0247014505803</v>
      </c>
      <c r="O22" s="24">
        <v>3747.8302229999999</v>
      </c>
      <c r="P22" s="24">
        <v>371308.82606699999</v>
      </c>
      <c r="Q22" s="24">
        <v>307402.39991099999</v>
      </c>
      <c r="R22" s="24">
        <v>19488.697843520498</v>
      </c>
    </row>
    <row r="23" spans="1:20" ht="15" x14ac:dyDescent="0.25">
      <c r="A23" s="20">
        <v>2015</v>
      </c>
      <c r="B23" s="21">
        <f t="shared" si="2"/>
        <v>0.97384851669512162</v>
      </c>
      <c r="C23" s="25">
        <f t="shared" si="3"/>
        <v>3.8230580447070972</v>
      </c>
      <c r="D23" s="25">
        <f t="shared" si="4"/>
        <v>8.7375155800154758</v>
      </c>
      <c r="E23" s="25">
        <f t="shared" si="5"/>
        <v>2.0815800116932244</v>
      </c>
      <c r="F23" s="47">
        <f t="shared" si="5"/>
        <v>2.8328775236151538</v>
      </c>
      <c r="G23" s="25">
        <f t="shared" si="6"/>
        <v>3.7269101081347955</v>
      </c>
      <c r="H23" s="25">
        <f t="shared" si="7"/>
        <v>6.4168764071739659</v>
      </c>
      <c r="I23" s="26">
        <f t="shared" si="8"/>
        <v>0.55852702407544552</v>
      </c>
      <c r="J23" s="26">
        <f t="shared" si="8"/>
        <v>0.44147297592455448</v>
      </c>
      <c r="K23" s="22">
        <f t="shared" si="0"/>
        <v>0.54500036112906214</v>
      </c>
      <c r="L23" s="48">
        <f t="shared" si="1"/>
        <v>0.45499963887093786</v>
      </c>
      <c r="M23" s="23">
        <v>9113.5234689999997</v>
      </c>
      <c r="N23" s="24">
        <v>9113.5234689999997</v>
      </c>
      <c r="O23" s="24">
        <v>4129.2499909999997</v>
      </c>
      <c r="P23" s="24">
        <v>385408.27721600002</v>
      </c>
      <c r="Q23" s="24">
        <v>320412.24706600001</v>
      </c>
      <c r="R23" s="24">
        <v>20780.259298000001</v>
      </c>
    </row>
    <row r="24" spans="1:20" ht="15" x14ac:dyDescent="0.25">
      <c r="A24" s="20">
        <v>2016</v>
      </c>
      <c r="B24" s="21">
        <f t="shared" si="2"/>
        <v>0.92481967715492808</v>
      </c>
      <c r="C24" s="25">
        <f t="shared" si="3"/>
        <v>-5.1656989647739353</v>
      </c>
      <c r="D24" s="25">
        <f t="shared" si="4"/>
        <v>4.0710091064450893</v>
      </c>
      <c r="E24" s="25">
        <f t="shared" si="5"/>
        <v>4.5889335623653125</v>
      </c>
      <c r="F24" s="47">
        <f t="shared" si="5"/>
        <v>4.6477745088537121</v>
      </c>
      <c r="G24" s="25">
        <f t="shared" si="6"/>
        <v>8.3186462514460047</v>
      </c>
      <c r="H24" s="25">
        <f t="shared" si="7"/>
        <v>10.366265505875205</v>
      </c>
      <c r="I24" s="26">
        <f t="shared" si="8"/>
        <v>0.55164427283677708</v>
      </c>
      <c r="J24" s="26">
        <f t="shared" si="8"/>
        <v>0.44835572716322292</v>
      </c>
      <c r="K24" s="22">
        <f t="shared" si="0"/>
        <v>0.55828818454449203</v>
      </c>
      <c r="L24" s="48">
        <f t="shared" si="1"/>
        <v>0.44171181545550797</v>
      </c>
      <c r="M24" s="23">
        <v>9678.9436600000008</v>
      </c>
      <c r="N24" s="24">
        <v>9492.1913450923603</v>
      </c>
      <c r="O24" s="24">
        <v>4530.0826290000005</v>
      </c>
      <c r="P24" s="24">
        <v>418840.29729000002</v>
      </c>
      <c r="Q24" s="24">
        <v>351130.20033199998</v>
      </c>
      <c r="R24" s="24">
        <v>23050.008054999998</v>
      </c>
    </row>
    <row r="25" spans="1:20" ht="15" x14ac:dyDescent="0.25">
      <c r="A25" s="20">
        <v>2017</v>
      </c>
      <c r="B25" s="21">
        <f t="shared" si="2"/>
        <v>1.0026058633961032</v>
      </c>
      <c r="C25" s="25">
        <f t="shared" si="3"/>
        <v>8.0758978110954942</v>
      </c>
      <c r="D25" s="25">
        <f t="shared" si="4"/>
        <v>12.357160686523549</v>
      </c>
      <c r="E25" s="25">
        <f t="shared" si="5"/>
        <v>2.1507965960723703</v>
      </c>
      <c r="F25" s="47">
        <f t="shared" si="5"/>
        <v>2.1304662793556863</v>
      </c>
      <c r="G25" s="25">
        <f t="shared" si="6"/>
        <v>3.9721992818467555</v>
      </c>
      <c r="H25" s="25">
        <f t="shared" si="7"/>
        <v>4.6462194719216754</v>
      </c>
      <c r="I25" s="26">
        <f t="shared" si="8"/>
        <v>0.54146240998070505</v>
      </c>
      <c r="J25" s="26">
        <f t="shared" si="8"/>
        <v>0.458537590019295</v>
      </c>
      <c r="K25" s="22">
        <f t="shared" si="0"/>
        <v>0.52463663541691796</v>
      </c>
      <c r="L25" s="48">
        <f t="shared" si="1"/>
        <v>0.47536336458308204</v>
      </c>
      <c r="M25" s="23">
        <v>11228.085429000001</v>
      </c>
      <c r="N25" s="24">
        <v>10740.7090214864</v>
      </c>
      <c r="O25" s="24">
        <v>4951.0404680000001</v>
      </c>
      <c r="P25" s="24">
        <v>435812.31828800001</v>
      </c>
      <c r="Q25" s="24">
        <v>366295.56057700003</v>
      </c>
      <c r="R25" s="24">
        <v>24146.231288622901</v>
      </c>
    </row>
    <row r="26" spans="1:20" ht="15" x14ac:dyDescent="0.25">
      <c r="A26" s="20">
        <v>2018</v>
      </c>
      <c r="B26" s="21">
        <f t="shared" si="2"/>
        <v>1.0126999969905413</v>
      </c>
      <c r="C26" s="25">
        <f t="shared" si="3"/>
        <v>1.001755436341174</v>
      </c>
      <c r="D26" s="25">
        <f t="shared" si="4"/>
        <v>7.192141713149347</v>
      </c>
      <c r="E26" s="25">
        <f t="shared" si="5"/>
        <v>4.3368396735402213</v>
      </c>
      <c r="F26" s="47">
        <f t="shared" si="5"/>
        <v>1.8535466032679517</v>
      </c>
      <c r="G26" s="25">
        <f t="shared" si="6"/>
        <v>8.0335313960969046</v>
      </c>
      <c r="H26" s="25">
        <f t="shared" si="7"/>
        <v>4.0280677830455858</v>
      </c>
      <c r="I26" s="26">
        <f t="shared" si="8"/>
        <v>0.53984225114839002</v>
      </c>
      <c r="J26" s="26">
        <f t="shared" si="8"/>
        <v>0.46015774885160993</v>
      </c>
      <c r="K26" s="22">
        <f t="shared" si="0"/>
        <v>0.55504786687986218</v>
      </c>
      <c r="L26" s="48">
        <f t="shared" si="1"/>
        <v>0.44495213312013782</v>
      </c>
      <c r="M26" s="23">
        <v>12209.523359999999</v>
      </c>
      <c r="N26" s="24">
        <v>11541.6533371109</v>
      </c>
      <c r="O26" s="24">
        <v>5646.4145479999997</v>
      </c>
      <c r="P26" s="24">
        <v>472268.179902</v>
      </c>
      <c r="Q26" s="24">
        <v>393488.72890400002</v>
      </c>
      <c r="R26" s="24">
        <v>25138.712570522999</v>
      </c>
    </row>
    <row r="27" spans="1:20" ht="15" x14ac:dyDescent="0.25">
      <c r="A27" s="20">
        <f>A26+1</f>
        <v>2019</v>
      </c>
      <c r="B27" s="21">
        <f t="shared" si="2"/>
        <v>0.98562096521134768</v>
      </c>
      <c r="C27" s="25">
        <f t="shared" si="3"/>
        <v>-2.7103443292247995</v>
      </c>
      <c r="D27" s="25">
        <f t="shared" si="4"/>
        <v>4.1031814800401634</v>
      </c>
      <c r="E27" s="25">
        <f t="shared" si="5"/>
        <v>5.0341500796362455</v>
      </c>
      <c r="F27" s="47">
        <f t="shared" si="5"/>
        <v>1.7793757296287174</v>
      </c>
      <c r="G27" s="25">
        <f t="shared" si="6"/>
        <v>8.9691348491960809</v>
      </c>
      <c r="H27" s="25">
        <f t="shared" si="7"/>
        <v>4.0557872014868934</v>
      </c>
      <c r="I27" s="26">
        <f t="shared" si="8"/>
        <v>0.56127487926970632</v>
      </c>
      <c r="J27" s="26">
        <f t="shared" si="8"/>
        <v>0.43872512073029368</v>
      </c>
      <c r="K27" s="22">
        <f t="shared" si="0"/>
        <v>0.56750189165955045</v>
      </c>
      <c r="L27" s="48">
        <f t="shared" si="1"/>
        <v>0.43249810834044955</v>
      </c>
      <c r="M27" s="23">
        <v>13098.856825999999</v>
      </c>
      <c r="N27" s="24">
        <v>12025.078400128399</v>
      </c>
      <c r="O27" s="24">
        <v>6179.3509910000002</v>
      </c>
      <c r="P27" s="24">
        <v>516584.228351</v>
      </c>
      <c r="Q27" s="24">
        <v>429421.01898300002</v>
      </c>
      <c r="R27" s="24">
        <v>26179.243487027699</v>
      </c>
    </row>
    <row r="28" spans="1:20" ht="15" x14ac:dyDescent="0.25">
      <c r="A28" s="20">
        <f t="shared" ref="A28:A30" si="9">A27+1</f>
        <v>2020</v>
      </c>
      <c r="B28" s="21">
        <v>1</v>
      </c>
      <c r="C28" s="25">
        <f t="shared" si="3"/>
        <v>1.4483414907863552</v>
      </c>
      <c r="D28" s="25">
        <f t="shared" si="4"/>
        <v>-0.24119782303699822</v>
      </c>
      <c r="E28" s="25">
        <f t="shared" si="5"/>
        <v>-3.00178197557462</v>
      </c>
      <c r="F28" s="47">
        <f t="shared" si="5"/>
        <v>1.3122426617512666</v>
      </c>
      <c r="G28" s="25">
        <f t="shared" si="6"/>
        <v>-5.2038231135126622</v>
      </c>
      <c r="H28" s="25">
        <f t="shared" si="7"/>
        <v>3.1010677212655935</v>
      </c>
      <c r="I28" s="26">
        <f t="shared" si="8"/>
        <v>0.57684166238855306</v>
      </c>
      <c r="J28" s="26">
        <f t="shared" si="8"/>
        <v>0.423158337611447</v>
      </c>
      <c r="K28" s="22">
        <f t="shared" si="0"/>
        <v>0.58618143311755555</v>
      </c>
      <c r="L28" s="48">
        <f t="shared" si="1"/>
        <v>0.41381856688244445</v>
      </c>
      <c r="M28" s="23">
        <v>13157.840741</v>
      </c>
      <c r="N28" s="24">
        <v>11996.109123485499</v>
      </c>
      <c r="O28" s="24">
        <v>6445.4040050000003</v>
      </c>
      <c r="P28" s="24">
        <v>490389.57162100001</v>
      </c>
      <c r="Q28" s="24">
        <v>409802.57867100002</v>
      </c>
      <c r="R28" s="24">
        <v>27003.798483344399</v>
      </c>
    </row>
    <row r="29" spans="1:20" ht="15" x14ac:dyDescent="0.25">
      <c r="A29" s="20">
        <f t="shared" si="9"/>
        <v>2021</v>
      </c>
      <c r="B29" s="21">
        <f>B28*EXP(C29/100)</f>
        <v>1.085924744755338</v>
      </c>
      <c r="C29" s="25">
        <f t="shared" si="3"/>
        <v>8.243192330528057</v>
      </c>
      <c r="D29" s="25">
        <f t="shared" si="4"/>
        <v>12.383378094431308</v>
      </c>
      <c r="E29" s="25">
        <f t="shared" si="5"/>
        <v>1.761671331445408</v>
      </c>
      <c r="F29" s="47">
        <f t="shared" si="5"/>
        <v>2.3785144324578429</v>
      </c>
      <c r="G29" s="25">
        <f t="shared" si="6"/>
        <v>3.1195205198784492</v>
      </c>
      <c r="H29" s="25">
        <f t="shared" si="7"/>
        <v>5.4643951935794632</v>
      </c>
      <c r="I29" s="26">
        <f t="shared" si="8"/>
        <v>0.56472503393375684</v>
      </c>
      <c r="J29" s="26">
        <f t="shared" si="8"/>
        <v>0.43527496606624316</v>
      </c>
      <c r="K29" s="22">
        <f t="shared" si="0"/>
        <v>0.54326863474995812</v>
      </c>
      <c r="L29" s="48">
        <f t="shared" si="1"/>
        <v>0.45673136525004188</v>
      </c>
      <c r="M29" s="23">
        <v>15344.629938</v>
      </c>
      <c r="N29" s="24">
        <v>13577.5288864179</v>
      </c>
      <c r="O29" s="24">
        <v>6923.7261420000004</v>
      </c>
      <c r="P29" s="24">
        <v>505928.48461599997</v>
      </c>
      <c r="Q29" s="24">
        <v>420201.85187200003</v>
      </c>
      <c r="R29" s="24">
        <v>28520.4533879601</v>
      </c>
    </row>
    <row r="30" spans="1:20" ht="15" x14ac:dyDescent="0.25">
      <c r="A30" s="20">
        <f t="shared" si="9"/>
        <v>2022</v>
      </c>
      <c r="B30" s="27">
        <f t="shared" ref="B30" si="10">B29*EXP(C30/100)</f>
        <v>1.0668887991602165</v>
      </c>
      <c r="C30" s="28">
        <f t="shared" si="3"/>
        <v>-1.7685174635863827</v>
      </c>
      <c r="D30" s="25">
        <f t="shared" si="4"/>
        <v>5.8394331494405094</v>
      </c>
      <c r="E30" s="28">
        <f t="shared" si="5"/>
        <v>2.7915940032185818</v>
      </c>
      <c r="F30" s="51">
        <f t="shared" si="5"/>
        <v>4.8163566098083104</v>
      </c>
      <c r="G30" s="25">
        <f t="shared" si="6"/>
        <v>5.1287666533321286</v>
      </c>
      <c r="H30" s="25">
        <f t="shared" si="7"/>
        <v>10.569167480947783</v>
      </c>
      <c r="I30" s="26">
        <f t="shared" si="8"/>
        <v>0.54430123105813366</v>
      </c>
      <c r="J30" s="26">
        <f t="shared" si="8"/>
        <v>0.45569876894186628</v>
      </c>
      <c r="K30" s="22">
        <f t="shared" si="0"/>
        <v>0.54533382736630931</v>
      </c>
      <c r="L30" s="48">
        <f t="shared" si="1"/>
        <v>0.45466617263369069</v>
      </c>
      <c r="M30" s="23">
        <v>16961.073299</v>
      </c>
      <c r="N30" s="23">
        <v>14393.9858486107</v>
      </c>
      <c r="O30" s="23">
        <v>7631.8777749999999</v>
      </c>
      <c r="P30" s="24">
        <v>532553.302455</v>
      </c>
      <c r="Q30" s="24">
        <v>439418.88687300001</v>
      </c>
      <c r="R30" s="24">
        <v>31699.888623498799</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146D-9E57-40F5-8E25-6D4CB8F2A78D}">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73</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0.68400492488549614</v>
      </c>
      <c r="L9" s="48">
        <f t="shared" ref="L9:L30" si="1">1-K9</f>
        <v>0.31599507511450386</v>
      </c>
      <c r="M9" s="23">
        <v>430475</v>
      </c>
      <c r="N9" s="24">
        <v>526871.45586759096</v>
      </c>
      <c r="O9" s="24">
        <v>239194</v>
      </c>
      <c r="P9" s="24">
        <v>12260221</v>
      </c>
      <c r="Q9" s="24">
        <v>9959589</v>
      </c>
      <c r="R9" s="24">
        <v>1704010.9089108801</v>
      </c>
    </row>
    <row r="10" spans="1:18" ht="15" x14ac:dyDescent="0.25">
      <c r="A10" s="20">
        <v>2002</v>
      </c>
      <c r="B10" s="21">
        <f t="shared" ref="B10:B27" si="2">B11*EXP(-C11/100)</f>
        <v>0.91308489192362852</v>
      </c>
      <c r="C10" s="25">
        <f t="shared" ref="C10:C30" si="3">D10-E10-F10</f>
        <v>7.9669394735799592E-3</v>
      </c>
      <c r="D10" s="25">
        <f t="shared" ref="D10:D30" si="4">(LN(N10)-LN(N9))*100</f>
        <v>0.21905254651297668</v>
      </c>
      <c r="E10" s="25">
        <f t="shared" ref="E10:F30" si="5">I10*G10</f>
        <v>-0.35016259627870311</v>
      </c>
      <c r="F10" s="47">
        <f t="shared" si="5"/>
        <v>0.56124820331809988</v>
      </c>
      <c r="G10" s="25">
        <f t="shared" ref="G10:G30" si="6">(LN(P10)-LN(P9))*100</f>
        <v>-0.51116452617350205</v>
      </c>
      <c r="H10" s="25">
        <f t="shared" ref="H10:H30" si="7">(LN(R10)-LN(R9))*100</f>
        <v>1.7819051740701752</v>
      </c>
      <c r="I10" s="26">
        <f t="shared" ref="I10:J30" si="8">(K10+K9)/2</f>
        <v>0.68502914100860191</v>
      </c>
      <c r="J10" s="26">
        <f t="shared" si="8"/>
        <v>0.31497085899139809</v>
      </c>
      <c r="K10" s="22">
        <f t="shared" si="0"/>
        <v>0.68605335713170768</v>
      </c>
      <c r="L10" s="48">
        <f t="shared" si="1"/>
        <v>0.31394664286829232</v>
      </c>
      <c r="M10" s="23">
        <v>449144</v>
      </c>
      <c r="N10" s="24">
        <v>528026.84620249202</v>
      </c>
      <c r="O10" s="24">
        <v>251188</v>
      </c>
      <c r="P10" s="24">
        <v>12197711</v>
      </c>
      <c r="Q10" s="24">
        <v>9943373</v>
      </c>
      <c r="R10" s="24">
        <v>1734646.9090788299</v>
      </c>
    </row>
    <row r="11" spans="1:18" ht="15" x14ac:dyDescent="0.25">
      <c r="A11" s="20">
        <v>2003</v>
      </c>
      <c r="B11" s="21">
        <f t="shared" si="2"/>
        <v>0.91679648970307837</v>
      </c>
      <c r="C11" s="25">
        <f t="shared" si="3"/>
        <v>0.40566595263537875</v>
      </c>
      <c r="D11" s="25">
        <f t="shared" si="4"/>
        <v>6.076382319122331E-2</v>
      </c>
      <c r="E11" s="25">
        <f t="shared" si="5"/>
        <v>-0.80794499303842104</v>
      </c>
      <c r="F11" s="47">
        <f t="shared" si="5"/>
        <v>0.46304286359426561</v>
      </c>
      <c r="G11" s="25">
        <f t="shared" si="6"/>
        <v>-1.1769048411295557</v>
      </c>
      <c r="H11" s="25">
        <f t="shared" si="7"/>
        <v>1.4770100070075287</v>
      </c>
      <c r="I11" s="26">
        <f t="shared" si="8"/>
        <v>0.68649984671911213</v>
      </c>
      <c r="J11" s="26">
        <f t="shared" si="8"/>
        <v>0.31350015328088793</v>
      </c>
      <c r="K11" s="22">
        <f t="shared" si="0"/>
        <v>0.68694633630651647</v>
      </c>
      <c r="L11" s="48">
        <f t="shared" si="1"/>
        <v>0.31305366369348353</v>
      </c>
      <c r="M11" s="23">
        <v>459576</v>
      </c>
      <c r="N11" s="24">
        <v>528347.793001618</v>
      </c>
      <c r="O11" s="24">
        <v>257981</v>
      </c>
      <c r="P11" s="24">
        <v>12054997</v>
      </c>
      <c r="Q11" s="24">
        <v>9850872</v>
      </c>
      <c r="R11" s="24">
        <v>1760457.9642114199</v>
      </c>
    </row>
    <row r="12" spans="1:18" ht="15" x14ac:dyDescent="0.25">
      <c r="A12" s="20">
        <v>2004</v>
      </c>
      <c r="B12" s="21">
        <f t="shared" si="2"/>
        <v>0.93015757804509203</v>
      </c>
      <c r="C12" s="25">
        <f t="shared" si="3"/>
        <v>1.4468493457093778</v>
      </c>
      <c r="D12" s="25">
        <f t="shared" si="4"/>
        <v>2.0824956975205922</v>
      </c>
      <c r="E12" s="25">
        <f t="shared" si="5"/>
        <v>0.21365194663373058</v>
      </c>
      <c r="F12" s="47">
        <f t="shared" si="5"/>
        <v>0.42199440517748377</v>
      </c>
      <c r="G12" s="25">
        <f t="shared" si="6"/>
        <v>0.31255135913639265</v>
      </c>
      <c r="H12" s="25">
        <f t="shared" si="7"/>
        <v>1.3336269806721646</v>
      </c>
      <c r="I12" s="26">
        <f t="shared" si="8"/>
        <v>0.68357388438197808</v>
      </c>
      <c r="J12" s="26">
        <f t="shared" si="8"/>
        <v>0.31642611561802186</v>
      </c>
      <c r="K12" s="22">
        <f t="shared" si="0"/>
        <v>0.6802014324574398</v>
      </c>
      <c r="L12" s="48">
        <f t="shared" si="1"/>
        <v>0.3197985675425602</v>
      </c>
      <c r="M12" s="23">
        <v>473572</v>
      </c>
      <c r="N12" s="24">
        <v>539465.979125396</v>
      </c>
      <c r="O12" s="24">
        <v>261726</v>
      </c>
      <c r="P12" s="24">
        <v>12092734</v>
      </c>
      <c r="Q12" s="24">
        <v>9825345</v>
      </c>
      <c r="R12" s="24">
        <v>1784093.1589684</v>
      </c>
    </row>
    <row r="13" spans="1:18" ht="15" x14ac:dyDescent="0.25">
      <c r="A13" s="20">
        <v>2005</v>
      </c>
      <c r="B13" s="21">
        <f t="shared" si="2"/>
        <v>0.94705525061725027</v>
      </c>
      <c r="C13" s="25">
        <f t="shared" si="3"/>
        <v>1.8003423716711295</v>
      </c>
      <c r="D13" s="25">
        <f t="shared" si="4"/>
        <v>2.0466032808446499</v>
      </c>
      <c r="E13" s="25">
        <f t="shared" si="5"/>
        <v>-0.21657482998149147</v>
      </c>
      <c r="F13" s="47">
        <f t="shared" si="5"/>
        <v>0.46283573915501192</v>
      </c>
      <c r="G13" s="25">
        <f t="shared" si="6"/>
        <v>-0.32103782668926328</v>
      </c>
      <c r="H13" s="25">
        <f t="shared" si="7"/>
        <v>1.4223962981658289</v>
      </c>
      <c r="I13" s="26">
        <f t="shared" si="8"/>
        <v>0.67460844790454266</v>
      </c>
      <c r="J13" s="26">
        <f t="shared" si="8"/>
        <v>0.32539155209545728</v>
      </c>
      <c r="K13" s="22">
        <f t="shared" si="0"/>
        <v>0.66901546335164563</v>
      </c>
      <c r="L13" s="48">
        <f t="shared" si="1"/>
        <v>0.33098453664835437</v>
      </c>
      <c r="M13" s="23">
        <v>492241</v>
      </c>
      <c r="N13" s="24">
        <v>550620.46221857099</v>
      </c>
      <c r="O13" s="24">
        <v>265911</v>
      </c>
      <c r="P13" s="24">
        <v>12053974</v>
      </c>
      <c r="Q13" s="24">
        <v>9733132</v>
      </c>
      <c r="R13" s="24">
        <v>1809651.3726476</v>
      </c>
    </row>
    <row r="14" spans="1:18" ht="15" x14ac:dyDescent="0.25">
      <c r="A14" s="20">
        <v>2006</v>
      </c>
      <c r="B14" s="21">
        <f t="shared" si="2"/>
        <v>0.96192605827454258</v>
      </c>
      <c r="C14" s="25">
        <f t="shared" si="3"/>
        <v>1.5580150942106277</v>
      </c>
      <c r="D14" s="25">
        <f t="shared" si="4"/>
        <v>3.392152814095617</v>
      </c>
      <c r="E14" s="25">
        <f t="shared" si="5"/>
        <v>1.24766999082665</v>
      </c>
      <c r="F14" s="47">
        <f t="shared" si="5"/>
        <v>0.5864677290583391</v>
      </c>
      <c r="G14" s="25">
        <f t="shared" si="6"/>
        <v>1.8835390393380891</v>
      </c>
      <c r="H14" s="25">
        <f t="shared" si="7"/>
        <v>1.73720495686851</v>
      </c>
      <c r="I14" s="26">
        <f t="shared" si="8"/>
        <v>0.66240729008999177</v>
      </c>
      <c r="J14" s="26">
        <f t="shared" si="8"/>
        <v>0.33759270991000817</v>
      </c>
      <c r="K14" s="22">
        <f t="shared" si="0"/>
        <v>0.65579911682833802</v>
      </c>
      <c r="L14" s="48">
        <f t="shared" si="1"/>
        <v>0.34420088317166198</v>
      </c>
      <c r="M14" s="23">
        <v>522057</v>
      </c>
      <c r="N14" s="24">
        <v>569618.75356446195</v>
      </c>
      <c r="O14" s="24">
        <v>274752</v>
      </c>
      <c r="P14" s="24">
        <v>12283167</v>
      </c>
      <c r="Q14" s="24">
        <v>9857402</v>
      </c>
      <c r="R14" s="24">
        <v>1841363.3797534199</v>
      </c>
    </row>
    <row r="15" spans="1:18" ht="15" x14ac:dyDescent="0.25">
      <c r="A15" s="20">
        <v>2007</v>
      </c>
      <c r="B15" s="21">
        <f t="shared" si="2"/>
        <v>0.97329713143873453</v>
      </c>
      <c r="C15" s="25">
        <f t="shared" si="3"/>
        <v>1.1751826964028758</v>
      </c>
      <c r="D15" s="25">
        <f t="shared" si="4"/>
        <v>3.9039682051081215</v>
      </c>
      <c r="E15" s="25">
        <f t="shared" si="5"/>
        <v>1.8484171988273359</v>
      </c>
      <c r="F15" s="47">
        <f t="shared" si="5"/>
        <v>0.88036830987790982</v>
      </c>
      <c r="G15" s="25">
        <f t="shared" si="6"/>
        <v>2.8206998467855016</v>
      </c>
      <c r="H15" s="25">
        <f t="shared" si="7"/>
        <v>2.5540461531452507</v>
      </c>
      <c r="I15" s="26">
        <f t="shared" si="8"/>
        <v>0.65530446315789714</v>
      </c>
      <c r="J15" s="26">
        <f t="shared" si="8"/>
        <v>0.34469553684210286</v>
      </c>
      <c r="K15" s="22">
        <f t="shared" si="0"/>
        <v>0.65480980948745626</v>
      </c>
      <c r="L15" s="48">
        <f t="shared" si="1"/>
        <v>0.34519019051254374</v>
      </c>
      <c r="M15" s="23">
        <v>554653</v>
      </c>
      <c r="N15" s="24">
        <v>592296.26995443297</v>
      </c>
      <c r="O15" s="24">
        <v>290622</v>
      </c>
      <c r="P15" s="24">
        <v>12634571</v>
      </c>
      <c r="Q15" s="24">
        <v>10110030</v>
      </c>
      <c r="R15" s="24">
        <v>1888998.3707562599</v>
      </c>
    </row>
    <row r="16" spans="1:18" ht="15" x14ac:dyDescent="0.25">
      <c r="A16" s="20">
        <v>2008</v>
      </c>
      <c r="B16" s="21">
        <f t="shared" si="2"/>
        <v>0.979735561767902</v>
      </c>
      <c r="C16" s="25">
        <f t="shared" si="3"/>
        <v>0.65932881467237925</v>
      </c>
      <c r="D16" s="25">
        <f t="shared" si="4"/>
        <v>2.4123736634903636</v>
      </c>
      <c r="E16" s="25">
        <f t="shared" si="5"/>
        <v>1.0330004503653549</v>
      </c>
      <c r="F16" s="47">
        <f t="shared" si="5"/>
        <v>0.72004439845262946</v>
      </c>
      <c r="G16" s="25">
        <f t="shared" si="6"/>
        <v>1.5708485409167139</v>
      </c>
      <c r="H16" s="25">
        <f t="shared" si="7"/>
        <v>2.1029742646200944</v>
      </c>
      <c r="I16" s="26">
        <f t="shared" si="8"/>
        <v>0.65760665236542648</v>
      </c>
      <c r="J16" s="26">
        <f t="shared" si="8"/>
        <v>0.34239334763457346</v>
      </c>
      <c r="K16" s="22">
        <f t="shared" si="0"/>
        <v>0.66040349524339681</v>
      </c>
      <c r="L16" s="48">
        <f t="shared" si="1"/>
        <v>0.33959650475660319</v>
      </c>
      <c r="M16" s="23">
        <v>580170</v>
      </c>
      <c r="N16" s="24">
        <v>606758.40823591698</v>
      </c>
      <c r="O16" s="24">
        <v>307808</v>
      </c>
      <c r="P16" s="24">
        <v>12834608</v>
      </c>
      <c r="Q16" s="24">
        <v>10310931</v>
      </c>
      <c r="R16" s="24">
        <v>1929144.16872286</v>
      </c>
    </row>
    <row r="17" spans="1:20" ht="15" x14ac:dyDescent="0.25">
      <c r="A17" s="20">
        <v>2009</v>
      </c>
      <c r="B17" s="21">
        <f t="shared" si="2"/>
        <v>0.95266435663469207</v>
      </c>
      <c r="C17" s="25">
        <f t="shared" si="3"/>
        <v>-2.8020055309278562</v>
      </c>
      <c r="D17" s="25">
        <f t="shared" si="4"/>
        <v>-3.3726826244130592</v>
      </c>
      <c r="E17" s="25">
        <f t="shared" si="5"/>
        <v>-0.99707390216929059</v>
      </c>
      <c r="F17" s="47">
        <f t="shared" si="5"/>
        <v>0.42639680868408769</v>
      </c>
      <c r="G17" s="25">
        <f t="shared" si="6"/>
        <v>-1.4763905514382003</v>
      </c>
      <c r="H17" s="25">
        <f t="shared" si="7"/>
        <v>1.3133869237899276</v>
      </c>
      <c r="I17" s="26">
        <f t="shared" si="8"/>
        <v>0.67534562666904652</v>
      </c>
      <c r="J17" s="26">
        <f t="shared" si="8"/>
        <v>0.32465437333095348</v>
      </c>
      <c r="K17" s="22">
        <f t="shared" si="0"/>
        <v>0.69028775809469622</v>
      </c>
      <c r="L17" s="48">
        <f t="shared" si="1"/>
        <v>0.30971224190530378</v>
      </c>
      <c r="M17" s="23">
        <v>564180</v>
      </c>
      <c r="N17" s="24">
        <v>586635.61916893697</v>
      </c>
      <c r="O17" s="24">
        <v>312320</v>
      </c>
      <c r="P17" s="24">
        <v>12646511</v>
      </c>
      <c r="Q17" s="24">
        <v>10141978</v>
      </c>
      <c r="R17" s="24">
        <v>1954648.41406828</v>
      </c>
    </row>
    <row r="18" spans="1:20" ht="15" x14ac:dyDescent="0.25">
      <c r="A18" s="20">
        <v>2010</v>
      </c>
      <c r="B18" s="21">
        <f t="shared" si="2"/>
        <v>0.96935962303685863</v>
      </c>
      <c r="C18" s="25">
        <f t="shared" si="3"/>
        <v>1.7373026032185024</v>
      </c>
      <c r="D18" s="25">
        <f t="shared" si="4"/>
        <v>1.4773874683363886</v>
      </c>
      <c r="E18" s="25">
        <f t="shared" si="5"/>
        <v>-0.49551233276340689</v>
      </c>
      <c r="F18" s="47">
        <f t="shared" si="5"/>
        <v>0.23559719788129285</v>
      </c>
      <c r="G18" s="25">
        <f t="shared" si="6"/>
        <v>-0.72424620573983134</v>
      </c>
      <c r="H18" s="25">
        <f t="shared" si="7"/>
        <v>0.74597773573330528</v>
      </c>
      <c r="I18" s="26">
        <f t="shared" si="8"/>
        <v>0.68417663611676305</v>
      </c>
      <c r="J18" s="26">
        <f t="shared" si="8"/>
        <v>0.31582336388323695</v>
      </c>
      <c r="K18" s="22">
        <f t="shared" si="0"/>
        <v>0.67806551413882987</v>
      </c>
      <c r="L18" s="48">
        <f t="shared" si="1"/>
        <v>0.32193448586117013</v>
      </c>
      <c r="M18" s="23">
        <v>575705</v>
      </c>
      <c r="N18" s="24">
        <v>595366.83844996896</v>
      </c>
      <c r="O18" s="24">
        <v>311900</v>
      </c>
      <c r="P18" s="24">
        <v>12555250</v>
      </c>
      <c r="Q18" s="24">
        <v>10031574</v>
      </c>
      <c r="R18" s="24">
        <v>1969284.1779479</v>
      </c>
    </row>
    <row r="19" spans="1:20" ht="15" x14ac:dyDescent="0.25">
      <c r="A19" s="20">
        <v>2011</v>
      </c>
      <c r="B19" s="21">
        <f t="shared" si="2"/>
        <v>0.98110454178679274</v>
      </c>
      <c r="C19" s="25">
        <f t="shared" si="3"/>
        <v>1.2043349394001663</v>
      </c>
      <c r="D19" s="25">
        <f t="shared" si="4"/>
        <v>2.0987002903854801</v>
      </c>
      <c r="E19" s="25">
        <f t="shared" si="5"/>
        <v>0.57453994950073084</v>
      </c>
      <c r="F19" s="47">
        <f t="shared" si="5"/>
        <v>0.31982540148458283</v>
      </c>
      <c r="G19" s="25">
        <f t="shared" si="6"/>
        <v>0.84588165786811942</v>
      </c>
      <c r="H19" s="25">
        <f t="shared" si="7"/>
        <v>0.99702490436825997</v>
      </c>
      <c r="I19" s="26">
        <f t="shared" si="8"/>
        <v>0.67922024807671955</v>
      </c>
      <c r="J19" s="26">
        <f t="shared" si="8"/>
        <v>0.32077975192328045</v>
      </c>
      <c r="K19" s="22">
        <f t="shared" si="0"/>
        <v>0.68037498201460922</v>
      </c>
      <c r="L19" s="48">
        <f t="shared" si="1"/>
        <v>0.31962501798539078</v>
      </c>
      <c r="M19" s="23">
        <v>589169</v>
      </c>
      <c r="N19" s="24">
        <v>607993.84203305305</v>
      </c>
      <c r="O19" s="24">
        <v>319887</v>
      </c>
      <c r="P19" s="24">
        <v>12661903</v>
      </c>
      <c r="Q19" s="24">
        <v>10104326</v>
      </c>
      <c r="R19" s="24">
        <v>1989016.6369451401</v>
      </c>
    </row>
    <row r="20" spans="1:20" ht="15" x14ac:dyDescent="0.25">
      <c r="A20" s="20">
        <v>2012</v>
      </c>
      <c r="B20" s="21">
        <f t="shared" si="2"/>
        <v>0.97812920444991802</v>
      </c>
      <c r="C20" s="25">
        <f t="shared" si="3"/>
        <v>-0.30372482403893974</v>
      </c>
      <c r="D20" s="25">
        <f t="shared" si="4"/>
        <v>-0.74414510712053072</v>
      </c>
      <c r="E20" s="25">
        <f t="shared" si="5"/>
        <v>-0.61031365527302794</v>
      </c>
      <c r="F20" s="47">
        <f t="shared" si="5"/>
        <v>0.16989337219143699</v>
      </c>
      <c r="G20" s="25">
        <f t="shared" si="6"/>
        <v>-0.89188893420235615</v>
      </c>
      <c r="H20" s="25">
        <f t="shared" si="7"/>
        <v>0.53813679676721904</v>
      </c>
      <c r="I20" s="26">
        <f t="shared" si="8"/>
        <v>0.68429333728515229</v>
      </c>
      <c r="J20" s="26">
        <f t="shared" si="8"/>
        <v>0.31570666271484776</v>
      </c>
      <c r="K20" s="22">
        <f t="shared" si="0"/>
        <v>0.68821169255569525</v>
      </c>
      <c r="L20" s="48">
        <f t="shared" si="1"/>
        <v>0.31178830744430475</v>
      </c>
      <c r="M20" s="23">
        <v>593115</v>
      </c>
      <c r="N20" s="24">
        <v>603486.27781583997</v>
      </c>
      <c r="O20" s="24">
        <v>324274</v>
      </c>
      <c r="P20" s="24">
        <v>12549475</v>
      </c>
      <c r="Q20" s="24">
        <v>9969577</v>
      </c>
      <c r="R20" s="24">
        <v>1999749.1191801601</v>
      </c>
    </row>
    <row r="21" spans="1:20" ht="15" x14ac:dyDescent="0.25">
      <c r="A21" s="20">
        <v>2013</v>
      </c>
      <c r="B21" s="21">
        <f t="shared" si="2"/>
        <v>0.98651217498349608</v>
      </c>
      <c r="C21" s="25">
        <f t="shared" si="3"/>
        <v>0.85338947831130796</v>
      </c>
      <c r="D21" s="25">
        <f t="shared" si="4"/>
        <v>0.36889294976294451</v>
      </c>
      <c r="E21" s="25">
        <f t="shared" si="5"/>
        <v>-0.60635998510476663</v>
      </c>
      <c r="F21" s="47">
        <f t="shared" si="5"/>
        <v>0.12186345655640318</v>
      </c>
      <c r="G21" s="25">
        <f t="shared" si="6"/>
        <v>-0.88217947569049215</v>
      </c>
      <c r="H21" s="25">
        <f t="shared" si="7"/>
        <v>0.38976738004432576</v>
      </c>
      <c r="I21" s="26">
        <f t="shared" si="8"/>
        <v>0.68734311079971744</v>
      </c>
      <c r="J21" s="26">
        <f t="shared" si="8"/>
        <v>0.31265688920028256</v>
      </c>
      <c r="K21" s="22">
        <f t="shared" si="0"/>
        <v>0.68647452904373962</v>
      </c>
      <c r="L21" s="48">
        <f t="shared" si="1"/>
        <v>0.31352547095626038</v>
      </c>
      <c r="M21" s="23">
        <v>598320</v>
      </c>
      <c r="N21" s="24">
        <v>605716.60738252301</v>
      </c>
      <c r="O21" s="24">
        <v>325151</v>
      </c>
      <c r="P21" s="24">
        <v>12439253</v>
      </c>
      <c r="Q21" s="24">
        <v>9847397</v>
      </c>
      <c r="R21" s="24">
        <v>2007558.6986392401</v>
      </c>
    </row>
    <row r="22" spans="1:20" ht="15" x14ac:dyDescent="0.25">
      <c r="A22" s="20">
        <v>2014</v>
      </c>
      <c r="B22" s="21">
        <f t="shared" si="2"/>
        <v>0.99755819856714623</v>
      </c>
      <c r="C22" s="25">
        <f t="shared" si="3"/>
        <v>1.1134824508723136</v>
      </c>
      <c r="D22" s="25">
        <f t="shared" si="4"/>
        <v>1.6401065839655615</v>
      </c>
      <c r="E22" s="25">
        <f t="shared" si="5"/>
        <v>0.46456734173569469</v>
      </c>
      <c r="F22" s="47">
        <f t="shared" si="5"/>
        <v>6.2056791357553286E-2</v>
      </c>
      <c r="G22" s="25">
        <f t="shared" si="6"/>
        <v>0.6773078089238993</v>
      </c>
      <c r="H22" s="25">
        <f t="shared" si="7"/>
        <v>0.19757195205389877</v>
      </c>
      <c r="I22" s="26">
        <f t="shared" si="8"/>
        <v>0.68590282824849635</v>
      </c>
      <c r="J22" s="26">
        <f t="shared" si="8"/>
        <v>0.31409717175150365</v>
      </c>
      <c r="K22" s="22">
        <f t="shared" si="0"/>
        <v>0.68533112745325309</v>
      </c>
      <c r="L22" s="48">
        <f t="shared" si="1"/>
        <v>0.31466887254674691</v>
      </c>
      <c r="M22" s="23">
        <v>609309</v>
      </c>
      <c r="N22" s="24">
        <v>615732.91991389997</v>
      </c>
      <c r="O22" s="24">
        <v>328743</v>
      </c>
      <c r="P22" s="24">
        <v>12523791</v>
      </c>
      <c r="Q22" s="24">
        <v>9859486</v>
      </c>
      <c r="R22" s="24">
        <v>2011528.99235067</v>
      </c>
    </row>
    <row r="23" spans="1:20" ht="15" x14ac:dyDescent="0.25">
      <c r="A23" s="20">
        <v>2015</v>
      </c>
      <c r="B23" s="21">
        <f t="shared" si="2"/>
        <v>1.0060030236331918</v>
      </c>
      <c r="C23" s="25">
        <f t="shared" si="3"/>
        <v>0.84298647644966807</v>
      </c>
      <c r="D23" s="25">
        <f t="shared" si="4"/>
        <v>1.9131149715860829</v>
      </c>
      <c r="E23" s="25">
        <f t="shared" si="5"/>
        <v>0.5386262897821319</v>
      </c>
      <c r="F23" s="47">
        <f t="shared" si="5"/>
        <v>0.53150220535428294</v>
      </c>
      <c r="G23" s="25">
        <f t="shared" si="6"/>
        <v>0.79322589386059406</v>
      </c>
      <c r="H23" s="25">
        <f t="shared" si="7"/>
        <v>1.6559385999716625</v>
      </c>
      <c r="I23" s="26">
        <f t="shared" si="8"/>
        <v>0.67903266137803753</v>
      </c>
      <c r="J23" s="26">
        <f t="shared" si="8"/>
        <v>0.32096733862196242</v>
      </c>
      <c r="K23" s="22">
        <f t="shared" si="0"/>
        <v>0.67273419530282208</v>
      </c>
      <c r="L23" s="48">
        <f t="shared" si="1"/>
        <v>0.32726580469717792</v>
      </c>
      <c r="M23" s="23">
        <v>627626</v>
      </c>
      <c r="N23" s="24">
        <v>627626</v>
      </c>
      <c r="O23" s="24">
        <v>330994</v>
      </c>
      <c r="P23" s="24">
        <v>12623528</v>
      </c>
      <c r="Q23" s="24">
        <v>9895926</v>
      </c>
      <c r="R23" s="24">
        <v>2045116</v>
      </c>
    </row>
    <row r="24" spans="1:20" ht="15" x14ac:dyDescent="0.25">
      <c r="A24" s="20">
        <v>2016</v>
      </c>
      <c r="B24" s="21">
        <f t="shared" si="2"/>
        <v>1.0087666864119613</v>
      </c>
      <c r="C24" s="25">
        <f t="shared" si="3"/>
        <v>0.27434048649131315</v>
      </c>
      <c r="D24" s="25">
        <f t="shared" si="4"/>
        <v>2.2196715577948112</v>
      </c>
      <c r="E24" s="25">
        <f t="shared" si="5"/>
        <v>1.6097953424221341</v>
      </c>
      <c r="F24" s="47">
        <f t="shared" si="5"/>
        <v>0.33553572888136396</v>
      </c>
      <c r="G24" s="25">
        <f t="shared" si="6"/>
        <v>2.3814795004319933</v>
      </c>
      <c r="H24" s="25">
        <f t="shared" si="7"/>
        <v>1.0354902996249749</v>
      </c>
      <c r="I24" s="26">
        <f t="shared" si="8"/>
        <v>0.67596439193792013</v>
      </c>
      <c r="J24" s="26">
        <f t="shared" si="8"/>
        <v>0.32403560806207982</v>
      </c>
      <c r="K24" s="22">
        <f t="shared" si="0"/>
        <v>0.67919458857301829</v>
      </c>
      <c r="L24" s="48">
        <f t="shared" si="1"/>
        <v>0.32080541142698171</v>
      </c>
      <c r="M24" s="23">
        <v>644312</v>
      </c>
      <c r="N24" s="24">
        <v>641713.000000339</v>
      </c>
      <c r="O24" s="24">
        <v>342642</v>
      </c>
      <c r="P24" s="24">
        <v>12927763</v>
      </c>
      <c r="Q24" s="24">
        <v>10122168</v>
      </c>
      <c r="R24" s="24">
        <v>2066402.99999999</v>
      </c>
    </row>
    <row r="25" spans="1:20" ht="15" x14ac:dyDescent="0.25">
      <c r="A25" s="20">
        <v>2017</v>
      </c>
      <c r="B25" s="21">
        <f t="shared" si="2"/>
        <v>1.0164661479815125</v>
      </c>
      <c r="C25" s="25">
        <f t="shared" si="3"/>
        <v>0.76035688673894219</v>
      </c>
      <c r="D25" s="25">
        <f t="shared" si="4"/>
        <v>2.7482697117326538</v>
      </c>
      <c r="E25" s="25">
        <f t="shared" si="5"/>
        <v>1.5535110172191233</v>
      </c>
      <c r="F25" s="47">
        <f t="shared" si="5"/>
        <v>0.43440180777458826</v>
      </c>
      <c r="G25" s="25">
        <f t="shared" si="6"/>
        <v>2.2975030272583297</v>
      </c>
      <c r="H25" s="25">
        <f t="shared" si="7"/>
        <v>1.3414653046556424</v>
      </c>
      <c r="I25" s="26">
        <f t="shared" si="8"/>
        <v>0.67617365408783314</v>
      </c>
      <c r="J25" s="26">
        <f t="shared" si="8"/>
        <v>0.3238263459121668</v>
      </c>
      <c r="K25" s="22">
        <f t="shared" si="0"/>
        <v>0.67315271960264811</v>
      </c>
      <c r="L25" s="48">
        <f t="shared" si="1"/>
        <v>0.32684728039735189</v>
      </c>
      <c r="M25" s="23">
        <v>671934</v>
      </c>
      <c r="N25" s="24">
        <v>659593.58190657105</v>
      </c>
      <c r="O25" s="24">
        <v>354478</v>
      </c>
      <c r="P25" s="24">
        <v>13228217</v>
      </c>
      <c r="Q25" s="24">
        <v>10366935</v>
      </c>
      <c r="R25" s="24">
        <v>2094309.8411030001</v>
      </c>
    </row>
    <row r="26" spans="1:20" ht="15" x14ac:dyDescent="0.25">
      <c r="A26" s="20">
        <v>2018</v>
      </c>
      <c r="B26" s="21">
        <f t="shared" si="2"/>
        <v>1.0158109636248087</v>
      </c>
      <c r="C26" s="25">
        <f t="shared" si="3"/>
        <v>-6.4477858424012491E-2</v>
      </c>
      <c r="D26" s="25">
        <f t="shared" si="4"/>
        <v>2.1875727441912574</v>
      </c>
      <c r="E26" s="25">
        <f t="shared" si="5"/>
        <v>1.7849343612514039</v>
      </c>
      <c r="F26" s="47">
        <f t="shared" si="5"/>
        <v>0.46711624136386592</v>
      </c>
      <c r="G26" s="25">
        <f t="shared" si="6"/>
        <v>2.6478222516917782</v>
      </c>
      <c r="H26" s="25">
        <f t="shared" si="7"/>
        <v>1.4333736650060658</v>
      </c>
      <c r="I26" s="26">
        <f t="shared" si="8"/>
        <v>0.67411411778526764</v>
      </c>
      <c r="J26" s="26">
        <f t="shared" si="8"/>
        <v>0.3258858822147323</v>
      </c>
      <c r="K26" s="22">
        <f t="shared" si="0"/>
        <v>0.67507551596788729</v>
      </c>
      <c r="L26" s="48">
        <f t="shared" si="1"/>
        <v>0.32492448403211271</v>
      </c>
      <c r="M26" s="23">
        <v>703557</v>
      </c>
      <c r="N26" s="24">
        <v>674181.65189595404</v>
      </c>
      <c r="O26" s="24">
        <v>372900</v>
      </c>
      <c r="P26" s="24">
        <v>13583155</v>
      </c>
      <c r="Q26" s="24">
        <v>10664522</v>
      </c>
      <c r="R26" s="24">
        <v>2124545.3027315801</v>
      </c>
    </row>
    <row r="27" spans="1:20" ht="15" x14ac:dyDescent="0.25">
      <c r="A27" s="20">
        <f>A26+1</f>
        <v>2019</v>
      </c>
      <c r="B27" s="21">
        <f t="shared" si="2"/>
        <v>1.0158116513318374</v>
      </c>
      <c r="C27" s="25">
        <f t="shared" si="3"/>
        <v>6.7700273037485381E-5</v>
      </c>
      <c r="D27" s="25">
        <f t="shared" si="4"/>
        <v>2.3625789358812099</v>
      </c>
      <c r="E27" s="25">
        <f t="shared" si="5"/>
        <v>1.7710263840068292</v>
      </c>
      <c r="F27" s="47">
        <f t="shared" si="5"/>
        <v>0.59148485160134323</v>
      </c>
      <c r="G27" s="25">
        <f t="shared" si="6"/>
        <v>2.6186111629463937</v>
      </c>
      <c r="H27" s="25">
        <f t="shared" si="7"/>
        <v>1.8273910452412778</v>
      </c>
      <c r="I27" s="26">
        <f t="shared" si="8"/>
        <v>0.67632278097146581</v>
      </c>
      <c r="J27" s="26">
        <f t="shared" si="8"/>
        <v>0.32367721902853425</v>
      </c>
      <c r="K27" s="22">
        <f t="shared" si="0"/>
        <v>0.67757004597504422</v>
      </c>
      <c r="L27" s="48">
        <f t="shared" si="1"/>
        <v>0.32242995402495578</v>
      </c>
      <c r="M27" s="23">
        <v>739508</v>
      </c>
      <c r="N27" s="24">
        <v>690299.37282702897</v>
      </c>
      <c r="O27" s="24">
        <v>393062</v>
      </c>
      <c r="P27" s="24">
        <v>13943543</v>
      </c>
      <c r="Q27" s="24">
        <v>10937980</v>
      </c>
      <c r="R27" s="24">
        <v>2163725.9548978899</v>
      </c>
    </row>
    <row r="28" spans="1:20" ht="15" x14ac:dyDescent="0.25">
      <c r="A28" s="20">
        <f t="shared" ref="A28:A30" si="9">A27+1</f>
        <v>2020</v>
      </c>
      <c r="B28" s="21">
        <v>1</v>
      </c>
      <c r="C28" s="25">
        <f t="shared" si="3"/>
        <v>-1.5687949423417678</v>
      </c>
      <c r="D28" s="25">
        <f t="shared" si="4"/>
        <v>-4.1065260150146443</v>
      </c>
      <c r="E28" s="25">
        <f t="shared" si="5"/>
        <v>-2.9948207702363008</v>
      </c>
      <c r="F28" s="47">
        <f t="shared" si="5"/>
        <v>0.45708969756342427</v>
      </c>
      <c r="G28" s="25">
        <f t="shared" si="6"/>
        <v>-4.3203488769538723</v>
      </c>
      <c r="H28" s="25">
        <f t="shared" si="7"/>
        <v>1.489811458185919</v>
      </c>
      <c r="I28" s="26">
        <f t="shared" si="8"/>
        <v>0.69318956767858175</v>
      </c>
      <c r="J28" s="26">
        <f t="shared" si="8"/>
        <v>0.30681043232141819</v>
      </c>
      <c r="K28" s="22">
        <f t="shared" si="0"/>
        <v>0.70880908938211939</v>
      </c>
      <c r="L28" s="48">
        <f t="shared" si="1"/>
        <v>0.29119091061788061</v>
      </c>
      <c r="M28" s="23">
        <v>726149</v>
      </c>
      <c r="N28" s="24">
        <v>662526.20845339599</v>
      </c>
      <c r="O28" s="24">
        <v>406330</v>
      </c>
      <c r="P28" s="24">
        <v>13353961</v>
      </c>
      <c r="Q28" s="24">
        <v>10542266</v>
      </c>
      <c r="R28" s="24">
        <v>2196202.7126338901</v>
      </c>
    </row>
    <row r="29" spans="1:20" ht="15" x14ac:dyDescent="0.25">
      <c r="A29" s="20">
        <f t="shared" si="9"/>
        <v>2021</v>
      </c>
      <c r="B29" s="21">
        <f>B28*EXP(C29/100)</f>
        <v>1.0288457829088928</v>
      </c>
      <c r="C29" s="25">
        <f t="shared" si="3"/>
        <v>2.8437574783317614</v>
      </c>
      <c r="D29" s="25">
        <f t="shared" si="4"/>
        <v>6.4712884747368804</v>
      </c>
      <c r="E29" s="25">
        <f t="shared" si="5"/>
        <v>3.1567434754206274</v>
      </c>
      <c r="F29" s="47">
        <f t="shared" si="5"/>
        <v>0.47078752098449161</v>
      </c>
      <c r="G29" s="25">
        <f t="shared" si="6"/>
        <v>4.5426061261750306</v>
      </c>
      <c r="H29" s="25">
        <f t="shared" si="7"/>
        <v>1.5431560088488894</v>
      </c>
      <c r="I29" s="26">
        <f t="shared" si="8"/>
        <v>0.69491903716483372</v>
      </c>
      <c r="J29" s="26">
        <f t="shared" si="8"/>
        <v>0.30508096283516634</v>
      </c>
      <c r="K29" s="22">
        <f t="shared" si="0"/>
        <v>0.68102898494754793</v>
      </c>
      <c r="L29" s="48">
        <f t="shared" si="1"/>
        <v>0.31897101505245207</v>
      </c>
      <c r="M29" s="23">
        <v>791730</v>
      </c>
      <c r="N29" s="24">
        <v>706817.85491899296</v>
      </c>
      <c r="O29" s="24">
        <v>423799</v>
      </c>
      <c r="P29" s="24">
        <v>13974568</v>
      </c>
      <c r="Q29" s="24">
        <v>10983876</v>
      </c>
      <c r="R29" s="24">
        <v>2230356.3912752299</v>
      </c>
    </row>
    <row r="30" spans="1:20" ht="15" x14ac:dyDescent="0.25">
      <c r="A30" s="20">
        <f t="shared" si="9"/>
        <v>2022</v>
      </c>
      <c r="B30" s="27">
        <f t="shared" ref="B30" si="10">B29*EXP(C30/100)</f>
        <v>1.0544531001284714</v>
      </c>
      <c r="C30" s="28">
        <f t="shared" si="3"/>
        <v>2.4584669231120291</v>
      </c>
      <c r="D30" s="25">
        <f t="shared" si="4"/>
        <v>5.5240378003293955</v>
      </c>
      <c r="E30" s="28">
        <f t="shared" si="5"/>
        <v>2.5151563888446593</v>
      </c>
      <c r="F30" s="51">
        <f t="shared" si="5"/>
        <v>0.55041448837270701</v>
      </c>
      <c r="G30" s="25">
        <f t="shared" si="6"/>
        <v>3.7680969718604018</v>
      </c>
      <c r="H30" s="25">
        <f t="shared" si="7"/>
        <v>1.6553180534014444</v>
      </c>
      <c r="I30" s="26">
        <f t="shared" si="8"/>
        <v>0.66748717127703461</v>
      </c>
      <c r="J30" s="26">
        <f t="shared" si="8"/>
        <v>0.33251282872296539</v>
      </c>
      <c r="K30" s="22">
        <f t="shared" si="0"/>
        <v>0.65394535760652128</v>
      </c>
      <c r="L30" s="48">
        <f t="shared" si="1"/>
        <v>0.34605464239347872</v>
      </c>
      <c r="M30" s="23">
        <v>888174</v>
      </c>
      <c r="N30" s="23">
        <v>746961.30238755804</v>
      </c>
      <c r="O30" s="23">
        <v>454769</v>
      </c>
      <c r="P30" s="24">
        <v>14511190</v>
      </c>
      <c r="Q30" s="24">
        <v>11361989</v>
      </c>
      <c r="R30" s="24">
        <v>2267583.1438218802</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9900-9EBB-4F6F-88C5-D477EFDBE0EC}">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74</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0.68036192059515965</v>
      </c>
      <c r="L9" s="48">
        <f t="shared" ref="L9:L30" si="1">1-K9</f>
        <v>0.31963807940484035</v>
      </c>
      <c r="M9" s="23">
        <v>195976.80492</v>
      </c>
      <c r="N9" s="24">
        <v>249072.73318700001</v>
      </c>
      <c r="O9" s="24">
        <v>105856.64550499999</v>
      </c>
      <c r="P9" s="24">
        <v>6746730.9079999998</v>
      </c>
      <c r="Q9" s="24">
        <v>5356324.0690000001</v>
      </c>
      <c r="R9" s="24">
        <v>991171.856394</v>
      </c>
    </row>
    <row r="10" spans="1:18" ht="15" x14ac:dyDescent="0.25">
      <c r="A10" s="20">
        <v>2002</v>
      </c>
      <c r="B10" s="21">
        <f t="shared" ref="B10:B27" si="2">B11*EXP(-C11/100)</f>
        <v>0.88060069962498932</v>
      </c>
      <c r="C10" s="25">
        <f t="shared" ref="C10:C30" si="3">D10-E10-F10</f>
        <v>0.93183849228243398</v>
      </c>
      <c r="D10" s="25">
        <f t="shared" ref="D10:D30" si="4">(LN(N10)-LN(N9))*100</f>
        <v>1.3744705572094063</v>
      </c>
      <c r="E10" s="25">
        <f t="shared" ref="E10:F30" si="5">I10*G10</f>
        <v>-0.16588336366102055</v>
      </c>
      <c r="F10" s="47">
        <f t="shared" si="5"/>
        <v>0.6085154285879929</v>
      </c>
      <c r="G10" s="25">
        <f t="shared" ref="G10:G30" si="6">(LN(P10)-LN(P9))*100</f>
        <v>-0.24415424205948</v>
      </c>
      <c r="H10" s="25">
        <f t="shared" ref="H10:H30" si="7">(LN(R10)-LN(R9))*100</f>
        <v>1.8981724274519607</v>
      </c>
      <c r="I10" s="26">
        <f t="shared" ref="I10:J30" si="8">(K10+K9)/2</f>
        <v>0.67942036256166549</v>
      </c>
      <c r="J10" s="26">
        <f t="shared" si="8"/>
        <v>0.32057963743833451</v>
      </c>
      <c r="K10" s="22">
        <f t="shared" si="0"/>
        <v>0.67847880452817133</v>
      </c>
      <c r="L10" s="48">
        <f t="shared" si="1"/>
        <v>0.32152119547182867</v>
      </c>
      <c r="M10" s="23">
        <v>200708.378447</v>
      </c>
      <c r="N10" s="24">
        <v>252519.799761</v>
      </c>
      <c r="O10" s="24">
        <v>107819.225563</v>
      </c>
      <c r="P10" s="24">
        <v>6730278.5710000005</v>
      </c>
      <c r="Q10" s="24">
        <v>5328775.9579999996</v>
      </c>
      <c r="R10" s="24">
        <v>1010165.7049829999</v>
      </c>
    </row>
    <row r="11" spans="1:18" ht="15" x14ac:dyDescent="0.25">
      <c r="A11" s="20">
        <v>2003</v>
      </c>
      <c r="B11" s="21">
        <f t="shared" si="2"/>
        <v>0.88500840618144017</v>
      </c>
      <c r="C11" s="25">
        <f t="shared" si="3"/>
        <v>0.49928556648815792</v>
      </c>
      <c r="D11" s="25">
        <f t="shared" si="4"/>
        <v>1.3022055567290636</v>
      </c>
      <c r="E11" s="25">
        <f t="shared" si="5"/>
        <v>0.11435068877532906</v>
      </c>
      <c r="F11" s="47">
        <f t="shared" si="5"/>
        <v>0.68856930146557649</v>
      </c>
      <c r="G11" s="25">
        <f t="shared" si="6"/>
        <v>0.16874204584276242</v>
      </c>
      <c r="H11" s="25">
        <f t="shared" si="7"/>
        <v>2.1361958755647947</v>
      </c>
      <c r="I11" s="26">
        <f t="shared" si="8"/>
        <v>0.67766565353772923</v>
      </c>
      <c r="J11" s="26">
        <f t="shared" si="8"/>
        <v>0.32233434646227083</v>
      </c>
      <c r="K11" s="22">
        <f t="shared" si="0"/>
        <v>0.67685250254728702</v>
      </c>
      <c r="L11" s="48">
        <f t="shared" si="1"/>
        <v>0.32314749745271298</v>
      </c>
      <c r="M11" s="23">
        <v>205864.48058</v>
      </c>
      <c r="N11" s="24">
        <v>255829.630252</v>
      </c>
      <c r="O11" s="24">
        <v>110244.054132</v>
      </c>
      <c r="P11" s="24">
        <v>6741644.9680000003</v>
      </c>
      <c r="Q11" s="24">
        <v>5333908.8959999997</v>
      </c>
      <c r="R11" s="24">
        <v>1031976.959239</v>
      </c>
    </row>
    <row r="12" spans="1:18" ht="15" x14ac:dyDescent="0.25">
      <c r="A12" s="20">
        <v>2004</v>
      </c>
      <c r="B12" s="21">
        <f t="shared" si="2"/>
        <v>0.89930508122524355</v>
      </c>
      <c r="C12" s="25">
        <f t="shared" si="3"/>
        <v>1.6025189632013137</v>
      </c>
      <c r="D12" s="25">
        <f t="shared" si="4"/>
        <v>2.6988046866337712</v>
      </c>
      <c r="E12" s="25">
        <f t="shared" si="5"/>
        <v>0.51254837296136579</v>
      </c>
      <c r="F12" s="47">
        <f t="shared" si="5"/>
        <v>0.58373735047109199</v>
      </c>
      <c r="G12" s="25">
        <f t="shared" si="6"/>
        <v>0.76338448220099053</v>
      </c>
      <c r="H12" s="25">
        <f t="shared" si="7"/>
        <v>1.7765226720410254</v>
      </c>
      <c r="I12" s="26">
        <f t="shared" si="8"/>
        <v>0.67141576088052779</v>
      </c>
      <c r="J12" s="26">
        <f t="shared" si="8"/>
        <v>0.32858423911947221</v>
      </c>
      <c r="K12" s="22">
        <f t="shared" si="0"/>
        <v>0.66597901921376856</v>
      </c>
      <c r="L12" s="48">
        <f t="shared" si="1"/>
        <v>0.33402098078623144</v>
      </c>
      <c r="M12" s="23">
        <v>214251.962382</v>
      </c>
      <c r="N12" s="24">
        <v>262827.98347699997</v>
      </c>
      <c r="O12" s="24">
        <v>112995.836868</v>
      </c>
      <c r="P12" s="24">
        <v>6793306.5769999996</v>
      </c>
      <c r="Q12" s="24">
        <v>5379703.0180000002</v>
      </c>
      <c r="R12" s="24">
        <v>1050474.0801870001</v>
      </c>
    </row>
    <row r="13" spans="1:18" ht="15" x14ac:dyDescent="0.25">
      <c r="A13" s="20">
        <v>2005</v>
      </c>
      <c r="B13" s="21">
        <f t="shared" si="2"/>
        <v>0.91741247774881185</v>
      </c>
      <c r="C13" s="25">
        <f t="shared" si="3"/>
        <v>1.9934850174288083</v>
      </c>
      <c r="D13" s="25">
        <f t="shared" si="4"/>
        <v>2.4312580337861434</v>
      </c>
      <c r="E13" s="25">
        <f t="shared" si="5"/>
        <v>-0.13447373262839238</v>
      </c>
      <c r="F13" s="47">
        <f t="shared" si="5"/>
        <v>0.57224674898572758</v>
      </c>
      <c r="G13" s="25">
        <f t="shared" si="6"/>
        <v>-0.20391809808160133</v>
      </c>
      <c r="H13" s="25">
        <f t="shared" si="7"/>
        <v>1.6803590604506979</v>
      </c>
      <c r="I13" s="26">
        <f t="shared" si="8"/>
        <v>0.65944971973297051</v>
      </c>
      <c r="J13" s="26">
        <f t="shared" si="8"/>
        <v>0.34055028026702955</v>
      </c>
      <c r="K13" s="22">
        <f t="shared" si="0"/>
        <v>0.65292042025217234</v>
      </c>
      <c r="L13" s="48">
        <f t="shared" si="1"/>
        <v>0.34707957974782766</v>
      </c>
      <c r="M13" s="23">
        <v>224194.68036</v>
      </c>
      <c r="N13" s="24">
        <v>269296.32232699997</v>
      </c>
      <c r="O13" s="24">
        <v>116601.382015</v>
      </c>
      <c r="P13" s="24">
        <v>6779467.9100000001</v>
      </c>
      <c r="Q13" s="24">
        <v>5400248.591</v>
      </c>
      <c r="R13" s="24">
        <v>1068274.957041</v>
      </c>
    </row>
    <row r="14" spans="1:18" ht="15" x14ac:dyDescent="0.25">
      <c r="A14" s="20">
        <v>2006</v>
      </c>
      <c r="B14" s="21">
        <f t="shared" si="2"/>
        <v>0.93982917511022424</v>
      </c>
      <c r="C14" s="25">
        <f t="shared" si="3"/>
        <v>2.414094686403919</v>
      </c>
      <c r="D14" s="25">
        <f t="shared" si="4"/>
        <v>3.4881333420790028</v>
      </c>
      <c r="E14" s="25">
        <f t="shared" si="5"/>
        <v>0.49989726641824261</v>
      </c>
      <c r="F14" s="47">
        <f t="shared" si="5"/>
        <v>0.57414138925684122</v>
      </c>
      <c r="G14" s="25">
        <f t="shared" si="6"/>
        <v>0.76935793271903918</v>
      </c>
      <c r="H14" s="25">
        <f t="shared" si="7"/>
        <v>1.6392753658301729</v>
      </c>
      <c r="I14" s="26">
        <f t="shared" si="8"/>
        <v>0.6497590330309877</v>
      </c>
      <c r="J14" s="26">
        <f t="shared" si="8"/>
        <v>0.35024096696901236</v>
      </c>
      <c r="K14" s="22">
        <f t="shared" si="0"/>
        <v>0.64659764580980295</v>
      </c>
      <c r="L14" s="48">
        <f t="shared" si="1"/>
        <v>0.35340235419019705</v>
      </c>
      <c r="M14" s="23">
        <v>237133.73409499999</v>
      </c>
      <c r="N14" s="24">
        <v>278855.48611900001</v>
      </c>
      <c r="O14" s="24">
        <v>122211.836798</v>
      </c>
      <c r="P14" s="24">
        <v>6831827.4419999998</v>
      </c>
      <c r="Q14" s="24">
        <v>5445311.1490000002</v>
      </c>
      <c r="R14" s="24">
        <v>1085931.2474760001</v>
      </c>
    </row>
    <row r="15" spans="1:18" ht="15" x14ac:dyDescent="0.25">
      <c r="A15" s="20">
        <v>2007</v>
      </c>
      <c r="B15" s="21">
        <f t="shared" si="2"/>
        <v>0.96239290254652787</v>
      </c>
      <c r="C15" s="25">
        <f t="shared" si="3"/>
        <v>2.372465974617386</v>
      </c>
      <c r="D15" s="25">
        <f t="shared" si="4"/>
        <v>3.7995526826117398</v>
      </c>
      <c r="E15" s="25">
        <f t="shared" si="5"/>
        <v>0.77656840458876264</v>
      </c>
      <c r="F15" s="47">
        <f t="shared" si="5"/>
        <v>0.65051830340559125</v>
      </c>
      <c r="G15" s="25">
        <f t="shared" si="6"/>
        <v>1.2108867319708949</v>
      </c>
      <c r="H15" s="25">
        <f t="shared" si="7"/>
        <v>1.8136558667601221</v>
      </c>
      <c r="I15" s="26">
        <f t="shared" si="8"/>
        <v>0.64132208577823313</v>
      </c>
      <c r="J15" s="26">
        <f t="shared" si="8"/>
        <v>0.35867791422176681</v>
      </c>
      <c r="K15" s="22">
        <f t="shared" si="0"/>
        <v>0.63604652574666343</v>
      </c>
      <c r="L15" s="48">
        <f t="shared" si="1"/>
        <v>0.36395347425333657</v>
      </c>
      <c r="M15" s="23">
        <v>251596.56626200001</v>
      </c>
      <c r="N15" s="24">
        <v>289654.60721300001</v>
      </c>
      <c r="O15" s="24">
        <v>128353.50979500001</v>
      </c>
      <c r="P15" s="24">
        <v>6915056.0190000003</v>
      </c>
      <c r="Q15" s="24">
        <v>5546383.0140000004</v>
      </c>
      <c r="R15" s="24">
        <v>1105805.988167</v>
      </c>
    </row>
    <row r="16" spans="1:18" ht="15" x14ac:dyDescent="0.25">
      <c r="A16" s="20">
        <v>2008</v>
      </c>
      <c r="B16" s="21">
        <f t="shared" si="2"/>
        <v>0.96323369854815344</v>
      </c>
      <c r="C16" s="25">
        <f t="shared" si="3"/>
        <v>8.73270087336947E-2</v>
      </c>
      <c r="D16" s="25">
        <f t="shared" si="4"/>
        <v>1.6780829126764374</v>
      </c>
      <c r="E16" s="25">
        <f t="shared" si="5"/>
        <v>0.94696122452526066</v>
      </c>
      <c r="F16" s="47">
        <f t="shared" si="5"/>
        <v>0.64379467941748203</v>
      </c>
      <c r="G16" s="25">
        <f t="shared" si="6"/>
        <v>1.4791065983455809</v>
      </c>
      <c r="H16" s="25">
        <f t="shared" si="7"/>
        <v>1.78943763331052</v>
      </c>
      <c r="I16" s="26">
        <f t="shared" si="8"/>
        <v>0.64022513697421224</v>
      </c>
      <c r="J16" s="26">
        <f t="shared" si="8"/>
        <v>0.35977486302578771</v>
      </c>
      <c r="K16" s="22">
        <f t="shared" si="0"/>
        <v>0.64440374820176116</v>
      </c>
      <c r="L16" s="48">
        <f t="shared" si="1"/>
        <v>0.35559625179823884</v>
      </c>
      <c r="M16" s="23">
        <v>260417.83793499999</v>
      </c>
      <c r="N16" s="24">
        <v>294556.26358799997</v>
      </c>
      <c r="O16" s="24">
        <v>135556.017215</v>
      </c>
      <c r="P16" s="24">
        <v>7018097.2350000003</v>
      </c>
      <c r="Q16" s="24">
        <v>5669038.3449999997</v>
      </c>
      <c r="R16" s="24">
        <v>1125771.801796</v>
      </c>
    </row>
    <row r="17" spans="1:20" ht="15" x14ac:dyDescent="0.25">
      <c r="A17" s="20">
        <v>2009</v>
      </c>
      <c r="B17" s="21">
        <f t="shared" si="2"/>
        <v>0.94095806384664915</v>
      </c>
      <c r="C17" s="25">
        <f t="shared" si="3"/>
        <v>-2.3397486903434879</v>
      </c>
      <c r="D17" s="25">
        <f t="shared" si="4"/>
        <v>-4.0867801944392212</v>
      </c>
      <c r="E17" s="25">
        <f t="shared" si="5"/>
        <v>-2.1513549530294114</v>
      </c>
      <c r="F17" s="47">
        <f t="shared" si="5"/>
        <v>0.40432344893367789</v>
      </c>
      <c r="G17" s="25">
        <f t="shared" si="6"/>
        <v>-3.2919255011382376</v>
      </c>
      <c r="H17" s="25">
        <f t="shared" si="7"/>
        <v>1.1669621615777004</v>
      </c>
      <c r="I17" s="26">
        <f t="shared" si="8"/>
        <v>0.65352479947846476</v>
      </c>
      <c r="J17" s="26">
        <f t="shared" si="8"/>
        <v>0.34647520052153519</v>
      </c>
      <c r="K17" s="22">
        <f t="shared" si="0"/>
        <v>0.66264585075516846</v>
      </c>
      <c r="L17" s="48">
        <f t="shared" si="1"/>
        <v>0.33735414924483154</v>
      </c>
      <c r="M17" s="23">
        <v>254814.77418400001</v>
      </c>
      <c r="N17" s="24">
        <v>282761.060192</v>
      </c>
      <c r="O17" s="24">
        <v>136247.37201600001</v>
      </c>
      <c r="P17" s="24">
        <v>6790827.9929999998</v>
      </c>
      <c r="Q17" s="24">
        <v>5479548.5180000002</v>
      </c>
      <c r="R17" s="24">
        <v>1138986.0856349999</v>
      </c>
    </row>
    <row r="18" spans="1:20" ht="15" x14ac:dyDescent="0.25">
      <c r="A18" s="20">
        <v>2010</v>
      </c>
      <c r="B18" s="21">
        <f t="shared" si="2"/>
        <v>0.95336820915876264</v>
      </c>
      <c r="C18" s="25">
        <f t="shared" si="3"/>
        <v>1.3102624436975527</v>
      </c>
      <c r="D18" s="25">
        <f t="shared" si="4"/>
        <v>1.8542226922013683</v>
      </c>
      <c r="E18" s="25">
        <f t="shared" si="5"/>
        <v>0.23212118050266331</v>
      </c>
      <c r="F18" s="47">
        <f t="shared" si="5"/>
        <v>0.3118390680011523</v>
      </c>
      <c r="G18" s="25">
        <f t="shared" si="6"/>
        <v>0.35252716974962794</v>
      </c>
      <c r="H18" s="25">
        <f t="shared" si="7"/>
        <v>0.9130089354137283</v>
      </c>
      <c r="I18" s="26">
        <f t="shared" si="8"/>
        <v>0.6584490513667941</v>
      </c>
      <c r="J18" s="26">
        <f t="shared" si="8"/>
        <v>0.3415509486332059</v>
      </c>
      <c r="K18" s="22">
        <f t="shared" si="0"/>
        <v>0.65425225197841974</v>
      </c>
      <c r="L18" s="48">
        <f t="shared" si="1"/>
        <v>0.34574774802158026</v>
      </c>
      <c r="M18" s="23">
        <v>261615.04911399999</v>
      </c>
      <c r="N18" s="24">
        <v>288052.99040100002</v>
      </c>
      <c r="O18" s="24">
        <v>138893.69885300001</v>
      </c>
      <c r="P18" s="24">
        <v>6814809.7529999996</v>
      </c>
      <c r="Q18" s="24">
        <v>5530040.7439999999</v>
      </c>
      <c r="R18" s="24">
        <v>1149432.747279</v>
      </c>
    </row>
    <row r="19" spans="1:20" ht="15" x14ac:dyDescent="0.25">
      <c r="A19" s="20">
        <v>2011</v>
      </c>
      <c r="B19" s="21">
        <f t="shared" si="2"/>
        <v>0.96810556696062522</v>
      </c>
      <c r="C19" s="25">
        <f t="shared" si="3"/>
        <v>1.5339940597511541</v>
      </c>
      <c r="D19" s="25">
        <f t="shared" si="4"/>
        <v>3.2040148149452108</v>
      </c>
      <c r="E19" s="25">
        <f t="shared" si="5"/>
        <v>1.2458192873997391</v>
      </c>
      <c r="F19" s="47">
        <f t="shared" si="5"/>
        <v>0.42420146779431755</v>
      </c>
      <c r="G19" s="25">
        <f t="shared" si="6"/>
        <v>1.9111237739576126</v>
      </c>
      <c r="H19" s="25">
        <f t="shared" si="7"/>
        <v>1.2185420757401033</v>
      </c>
      <c r="I19" s="26">
        <f t="shared" si="8"/>
        <v>0.65187786598450348</v>
      </c>
      <c r="J19" s="26">
        <f t="shared" si="8"/>
        <v>0.34812213401549652</v>
      </c>
      <c r="K19" s="22">
        <f t="shared" si="0"/>
        <v>0.64950347999058722</v>
      </c>
      <c r="L19" s="48">
        <f t="shared" si="1"/>
        <v>0.35049652000941278</v>
      </c>
      <c r="M19" s="23">
        <v>274204.28218600003</v>
      </c>
      <c r="N19" s="24">
        <v>297431.69613699999</v>
      </c>
      <c r="O19" s="24">
        <v>144408.14460999999</v>
      </c>
      <c r="P19" s="24">
        <v>6946301.6869999999</v>
      </c>
      <c r="Q19" s="24">
        <v>5632349.7390000001</v>
      </c>
      <c r="R19" s="24">
        <v>1163524.7530769999</v>
      </c>
    </row>
    <row r="20" spans="1:20" ht="15" x14ac:dyDescent="0.25">
      <c r="A20" s="20">
        <v>2012</v>
      </c>
      <c r="B20" s="21">
        <f t="shared" si="2"/>
        <v>0.9712007899341627</v>
      </c>
      <c r="C20" s="25">
        <f t="shared" si="3"/>
        <v>0.31920955559776459</v>
      </c>
      <c r="D20" s="25">
        <f t="shared" si="4"/>
        <v>0.45133096350937763</v>
      </c>
      <c r="E20" s="25">
        <f t="shared" si="5"/>
        <v>-0.28158495065658928</v>
      </c>
      <c r="F20" s="47">
        <f t="shared" si="5"/>
        <v>0.41370635856820231</v>
      </c>
      <c r="G20" s="25">
        <f t="shared" si="6"/>
        <v>-0.43215532472391516</v>
      </c>
      <c r="H20" s="25">
        <f t="shared" si="7"/>
        <v>1.1873876706147257</v>
      </c>
      <c r="I20" s="26">
        <f t="shared" si="8"/>
        <v>0.65158274015594142</v>
      </c>
      <c r="J20" s="26">
        <f t="shared" si="8"/>
        <v>0.34841725984405858</v>
      </c>
      <c r="K20" s="22">
        <f t="shared" si="0"/>
        <v>0.65366200032129562</v>
      </c>
      <c r="L20" s="48">
        <f t="shared" si="1"/>
        <v>0.34633799967870438</v>
      </c>
      <c r="M20" s="23">
        <v>281072.65429500001</v>
      </c>
      <c r="N20" s="24">
        <v>298777.131376</v>
      </c>
      <c r="O20" s="24">
        <v>150281.962245</v>
      </c>
      <c r="P20" s="24">
        <v>6916347.6449999996</v>
      </c>
      <c r="Q20" s="24">
        <v>5657334.2419999996</v>
      </c>
      <c r="R20" s="24">
        <v>1177422.6502109999</v>
      </c>
    </row>
    <row r="21" spans="1:20" ht="15" x14ac:dyDescent="0.25">
      <c r="A21" s="20">
        <v>2013</v>
      </c>
      <c r="B21" s="21">
        <f t="shared" si="2"/>
        <v>0.96904177545621029</v>
      </c>
      <c r="C21" s="25">
        <f t="shared" si="3"/>
        <v>-0.22255107764145321</v>
      </c>
      <c r="D21" s="25">
        <f t="shared" si="4"/>
        <v>-0.13040635716858873</v>
      </c>
      <c r="E21" s="25">
        <f t="shared" si="5"/>
        <v>-0.30905336334560091</v>
      </c>
      <c r="F21" s="47">
        <f t="shared" si="5"/>
        <v>0.40119808381846539</v>
      </c>
      <c r="G21" s="25">
        <f t="shared" si="6"/>
        <v>-0.47102727780963249</v>
      </c>
      <c r="H21" s="25">
        <f t="shared" si="7"/>
        <v>1.1667016995222212</v>
      </c>
      <c r="I21" s="26">
        <f t="shared" si="8"/>
        <v>0.65612625405211888</v>
      </c>
      <c r="J21" s="26">
        <f t="shared" si="8"/>
        <v>0.34387374594788106</v>
      </c>
      <c r="K21" s="22">
        <f t="shared" si="0"/>
        <v>0.65859050778294226</v>
      </c>
      <c r="L21" s="48">
        <f t="shared" si="1"/>
        <v>0.34140949221705774</v>
      </c>
      <c r="M21" s="23">
        <v>285327.00050800003</v>
      </c>
      <c r="N21" s="24">
        <v>298387.76094000001</v>
      </c>
      <c r="O21" s="24">
        <v>154501.66002400001</v>
      </c>
      <c r="P21" s="24">
        <v>6883846.3660000004</v>
      </c>
      <c r="Q21" s="24">
        <v>5659863.8119999999</v>
      </c>
      <c r="R21" s="24">
        <v>1191240.1078029999</v>
      </c>
    </row>
    <row r="22" spans="1:20" ht="15" x14ac:dyDescent="0.25">
      <c r="A22" s="20">
        <v>2014</v>
      </c>
      <c r="B22" s="21">
        <f t="shared" si="2"/>
        <v>0.96976074596750916</v>
      </c>
      <c r="C22" s="25">
        <f t="shared" si="3"/>
        <v>7.4166454428545248E-2</v>
      </c>
      <c r="D22" s="25">
        <f t="shared" si="4"/>
        <v>0.74168045525375703</v>
      </c>
      <c r="E22" s="25">
        <f t="shared" si="5"/>
        <v>0.30648193424382947</v>
      </c>
      <c r="F22" s="47">
        <f t="shared" si="5"/>
        <v>0.36103206658138232</v>
      </c>
      <c r="G22" s="25">
        <f t="shared" si="6"/>
        <v>0.4662982105251956</v>
      </c>
      <c r="H22" s="25">
        <f t="shared" si="7"/>
        <v>1.0533883688587764</v>
      </c>
      <c r="I22" s="26">
        <f t="shared" si="8"/>
        <v>0.65726594553866347</v>
      </c>
      <c r="J22" s="26">
        <f t="shared" si="8"/>
        <v>0.34273405446133653</v>
      </c>
      <c r="K22" s="22">
        <f t="shared" si="0"/>
        <v>0.65594138329438467</v>
      </c>
      <c r="L22" s="48">
        <f t="shared" si="1"/>
        <v>0.34405861670561533</v>
      </c>
      <c r="M22" s="23">
        <v>293480.301232</v>
      </c>
      <c r="N22" s="24">
        <v>300609.07197599998</v>
      </c>
      <c r="O22" s="24">
        <v>158709.95244600001</v>
      </c>
      <c r="P22" s="24">
        <v>6916020.574</v>
      </c>
      <c r="Q22" s="24">
        <v>5701858.6979999999</v>
      </c>
      <c r="R22" s="24">
        <v>1203854.816836</v>
      </c>
    </row>
    <row r="23" spans="1:20" ht="15" x14ac:dyDescent="0.25">
      <c r="A23" s="20">
        <v>2015</v>
      </c>
      <c r="B23" s="21">
        <f t="shared" si="2"/>
        <v>0.98131521861250737</v>
      </c>
      <c r="C23" s="25">
        <f t="shared" si="3"/>
        <v>1.1844344284289388</v>
      </c>
      <c r="D23" s="25">
        <f t="shared" si="4"/>
        <v>1.0708869876184579</v>
      </c>
      <c r="E23" s="25">
        <f t="shared" si="5"/>
        <v>-0.49591579680794434</v>
      </c>
      <c r="F23" s="47">
        <f t="shared" si="5"/>
        <v>0.38236835599746349</v>
      </c>
      <c r="G23" s="25">
        <f t="shared" si="6"/>
        <v>-0.75841819240753949</v>
      </c>
      <c r="H23" s="25">
        <f t="shared" si="7"/>
        <v>1.1047332224418227</v>
      </c>
      <c r="I23" s="26">
        <f t="shared" si="8"/>
        <v>0.65388172616706131</v>
      </c>
      <c r="J23" s="26">
        <f t="shared" si="8"/>
        <v>0.34611827383293864</v>
      </c>
      <c r="K23" s="22">
        <f t="shared" si="0"/>
        <v>0.65182206903973805</v>
      </c>
      <c r="L23" s="48">
        <f t="shared" si="1"/>
        <v>0.34817793096026195</v>
      </c>
      <c r="M23" s="23">
        <v>303845.55401399999</v>
      </c>
      <c r="N23" s="24">
        <v>303845.55401399999</v>
      </c>
      <c r="O23" s="24">
        <v>163631.38894199999</v>
      </c>
      <c r="P23" s="24">
        <v>6863766.6179999998</v>
      </c>
      <c r="Q23" s="24">
        <v>5670837.1859999998</v>
      </c>
      <c r="R23" s="24">
        <v>1217227.9335709999</v>
      </c>
    </row>
    <row r="24" spans="1:20" ht="15" x14ac:dyDescent="0.25">
      <c r="A24" s="20">
        <v>2016</v>
      </c>
      <c r="B24" s="21">
        <f t="shared" si="2"/>
        <v>0.98364212194712608</v>
      </c>
      <c r="C24" s="25">
        <f t="shared" si="3"/>
        <v>0.23684019742158136</v>
      </c>
      <c r="D24" s="25">
        <f t="shared" si="4"/>
        <v>2.0595106501161808</v>
      </c>
      <c r="E24" s="25">
        <f t="shared" si="5"/>
        <v>1.381478627305627</v>
      </c>
      <c r="F24" s="47">
        <f t="shared" si="5"/>
        <v>0.4411918253889725</v>
      </c>
      <c r="G24" s="25">
        <f t="shared" si="6"/>
        <v>2.1229814596859242</v>
      </c>
      <c r="H24" s="25">
        <f t="shared" si="7"/>
        <v>1.2631672119971071</v>
      </c>
      <c r="I24" s="26">
        <f t="shared" si="8"/>
        <v>0.6507257145382721</v>
      </c>
      <c r="J24" s="26">
        <f t="shared" si="8"/>
        <v>0.34927428546172784</v>
      </c>
      <c r="K24" s="22">
        <f t="shared" si="0"/>
        <v>0.64962936003680627</v>
      </c>
      <c r="L24" s="48">
        <f t="shared" si="1"/>
        <v>0.35037063996319373</v>
      </c>
      <c r="M24" s="23">
        <v>315923.89537400001</v>
      </c>
      <c r="N24" s="24">
        <v>310168.16954799998</v>
      </c>
      <c r="O24" s="24">
        <v>170010.8958</v>
      </c>
      <c r="P24" s="24">
        <v>7011040.8820000002</v>
      </c>
      <c r="Q24" s="24">
        <v>5807793.0800000001</v>
      </c>
      <c r="R24" s="24">
        <v>1232701.0778260001</v>
      </c>
    </row>
    <row r="25" spans="1:20" ht="15" x14ac:dyDescent="0.25">
      <c r="A25" s="20">
        <v>2017</v>
      </c>
      <c r="B25" s="21">
        <f t="shared" si="2"/>
        <v>0.99583152322830837</v>
      </c>
      <c r="C25" s="25">
        <f t="shared" si="3"/>
        <v>1.2315956201140197</v>
      </c>
      <c r="D25" s="25">
        <f t="shared" si="4"/>
        <v>2.3693573321788008</v>
      </c>
      <c r="E25" s="25">
        <f t="shared" si="5"/>
        <v>0.64496867649221268</v>
      </c>
      <c r="F25" s="47">
        <f t="shared" si="5"/>
        <v>0.49279303557256848</v>
      </c>
      <c r="G25" s="25">
        <f t="shared" si="6"/>
        <v>0.99233323619731806</v>
      </c>
      <c r="H25" s="25">
        <f t="shared" si="7"/>
        <v>1.4077858379691222</v>
      </c>
      <c r="I25" s="26">
        <f t="shared" si="8"/>
        <v>0.64995170267980973</v>
      </c>
      <c r="J25" s="26">
        <f t="shared" si="8"/>
        <v>0.35004829732019027</v>
      </c>
      <c r="K25" s="22">
        <f t="shared" si="0"/>
        <v>0.65027404532281319</v>
      </c>
      <c r="L25" s="48">
        <f t="shared" si="1"/>
        <v>0.34972595467718681</v>
      </c>
      <c r="M25" s="23">
        <v>326371.55489700002</v>
      </c>
      <c r="N25" s="24">
        <v>317604.915454</v>
      </c>
      <c r="O25" s="24">
        <v>175965.90731499999</v>
      </c>
      <c r="P25" s="24">
        <v>7080960.1129999999</v>
      </c>
      <c r="Q25" s="24">
        <v>5870998.3789999997</v>
      </c>
      <c r="R25" s="24">
        <v>1250177.5963679999</v>
      </c>
    </row>
    <row r="26" spans="1:20" ht="15" x14ac:dyDescent="0.25">
      <c r="A26" s="20">
        <v>2018</v>
      </c>
      <c r="B26" s="21">
        <f t="shared" si="2"/>
        <v>1.0041781542171659</v>
      </c>
      <c r="C26" s="25">
        <f t="shared" si="3"/>
        <v>0.8346639058362133</v>
      </c>
      <c r="D26" s="25">
        <f t="shared" si="4"/>
        <v>2.692141584105201</v>
      </c>
      <c r="E26" s="25">
        <f t="shared" si="5"/>
        <v>1.3193131960106952</v>
      </c>
      <c r="F26" s="47">
        <f t="shared" si="5"/>
        <v>0.5381644822582925</v>
      </c>
      <c r="G26" s="25">
        <f t="shared" si="6"/>
        <v>2.0254579547769325</v>
      </c>
      <c r="H26" s="25">
        <f t="shared" si="7"/>
        <v>1.5436346698557202</v>
      </c>
      <c r="I26" s="26">
        <f t="shared" si="8"/>
        <v>0.65136538277635769</v>
      </c>
      <c r="J26" s="26">
        <f t="shared" si="8"/>
        <v>0.34863461722364236</v>
      </c>
      <c r="K26" s="22">
        <f t="shared" si="0"/>
        <v>0.65245672022990209</v>
      </c>
      <c r="L26" s="48">
        <f t="shared" si="1"/>
        <v>0.34754327977009791</v>
      </c>
      <c r="M26" s="23">
        <v>341351.554749</v>
      </c>
      <c r="N26" s="24">
        <v>326271.42336399999</v>
      </c>
      <c r="O26" s="24">
        <v>184918.14172700001</v>
      </c>
      <c r="P26" s="24">
        <v>7225844.3140000002</v>
      </c>
      <c r="Q26" s="24">
        <v>5999492.665</v>
      </c>
      <c r="R26" s="24">
        <v>1269625.4872030001</v>
      </c>
    </row>
    <row r="27" spans="1:20" ht="15" x14ac:dyDescent="0.25">
      <c r="A27" s="20">
        <f>A26+1</f>
        <v>2019</v>
      </c>
      <c r="B27" s="21">
        <f t="shared" si="2"/>
        <v>1.0055482476869679</v>
      </c>
      <c r="C27" s="25">
        <f t="shared" si="3"/>
        <v>0.13634628880406019</v>
      </c>
      <c r="D27" s="25">
        <f t="shared" si="4"/>
        <v>1.7716690599963059</v>
      </c>
      <c r="E27" s="25">
        <f t="shared" si="5"/>
        <v>1.0647669560586781</v>
      </c>
      <c r="F27" s="47">
        <f t="shared" si="5"/>
        <v>0.57055581513356757</v>
      </c>
      <c r="G27" s="25">
        <f t="shared" si="6"/>
        <v>1.6282433110635708</v>
      </c>
      <c r="H27" s="25">
        <f t="shared" si="7"/>
        <v>1.6487003959049673</v>
      </c>
      <c r="I27" s="26">
        <f t="shared" si="8"/>
        <v>0.653936023457803</v>
      </c>
      <c r="J27" s="26">
        <f t="shared" si="8"/>
        <v>0.346063976542197</v>
      </c>
      <c r="K27" s="22">
        <f t="shared" si="0"/>
        <v>0.6554153266857039</v>
      </c>
      <c r="L27" s="48">
        <f t="shared" si="1"/>
        <v>0.3445846733142961</v>
      </c>
      <c r="M27" s="23">
        <v>352742.58695700002</v>
      </c>
      <c r="N27" s="24">
        <v>332103.38218399999</v>
      </c>
      <c r="O27" s="24">
        <v>192668.060329</v>
      </c>
      <c r="P27" s="24">
        <v>7344461.71</v>
      </c>
      <c r="Q27" s="24">
        <v>6120617.0470000003</v>
      </c>
      <c r="R27" s="24">
        <v>1290731.315492</v>
      </c>
    </row>
    <row r="28" spans="1:20" ht="15" x14ac:dyDescent="0.25">
      <c r="A28" s="20">
        <f t="shared" ref="A28:A30" si="9">A27+1</f>
        <v>2020</v>
      </c>
      <c r="B28" s="21">
        <v>1</v>
      </c>
      <c r="C28" s="25">
        <f t="shared" si="3"/>
        <v>-0.5532912855584049</v>
      </c>
      <c r="D28" s="25">
        <f t="shared" si="4"/>
        <v>-6.3479096435221649</v>
      </c>
      <c r="E28" s="25">
        <f t="shared" si="5"/>
        <v>-6.170161178701937</v>
      </c>
      <c r="F28" s="47">
        <f t="shared" si="5"/>
        <v>0.37554282073817707</v>
      </c>
      <c r="G28" s="25">
        <f t="shared" si="6"/>
        <v>-9.229921566047139</v>
      </c>
      <c r="H28" s="25">
        <f t="shared" si="7"/>
        <v>1.1328438639971239</v>
      </c>
      <c r="I28" s="26">
        <f t="shared" si="8"/>
        <v>0.66849551586649147</v>
      </c>
      <c r="J28" s="26">
        <f t="shared" si="8"/>
        <v>0.33150448413350853</v>
      </c>
      <c r="K28" s="22">
        <f t="shared" si="0"/>
        <v>0.68157570504727905</v>
      </c>
      <c r="L28" s="48">
        <f t="shared" si="1"/>
        <v>0.31842429495272095</v>
      </c>
      <c r="M28" s="23">
        <v>340529.89653199998</v>
      </c>
      <c r="N28" s="24">
        <v>311676.94420299999</v>
      </c>
      <c r="O28" s="24">
        <v>192083.92492300001</v>
      </c>
      <c r="P28" s="24">
        <v>6696917.2240000004</v>
      </c>
      <c r="Q28" s="24">
        <v>5542383.898</v>
      </c>
      <c r="R28" s="24">
        <v>1305436.4216839999</v>
      </c>
    </row>
    <row r="29" spans="1:20" ht="15" x14ac:dyDescent="0.25">
      <c r="A29" s="20">
        <f t="shared" si="9"/>
        <v>2021</v>
      </c>
      <c r="B29" s="21">
        <f>B28*EXP(C29/100)</f>
        <v>1.0044967108365395</v>
      </c>
      <c r="C29" s="25">
        <f t="shared" si="3"/>
        <v>0.4486630838958916</v>
      </c>
      <c r="D29" s="25">
        <f t="shared" si="4"/>
        <v>4.2627900976896171</v>
      </c>
      <c r="E29" s="25">
        <f t="shared" si="5"/>
        <v>3.2615695284590362</v>
      </c>
      <c r="F29" s="47">
        <f t="shared" si="5"/>
        <v>0.55255748533468929</v>
      </c>
      <c r="G29" s="25">
        <f t="shared" si="6"/>
        <v>4.8348223115008082</v>
      </c>
      <c r="H29" s="25">
        <f t="shared" si="7"/>
        <v>1.6980851947502984</v>
      </c>
      <c r="I29" s="26">
        <f t="shared" si="8"/>
        <v>0.67459966847190944</v>
      </c>
      <c r="J29" s="26">
        <f t="shared" si="8"/>
        <v>0.32540033152809056</v>
      </c>
      <c r="K29" s="22">
        <f t="shared" si="0"/>
        <v>0.66762363189653984</v>
      </c>
      <c r="L29" s="48">
        <f t="shared" si="1"/>
        <v>0.33237636810346016</v>
      </c>
      <c r="M29" s="23">
        <v>362537.34721099999</v>
      </c>
      <c r="N29" s="24">
        <v>325250.32515699998</v>
      </c>
      <c r="O29" s="24">
        <v>201416.379075</v>
      </c>
      <c r="P29" s="24">
        <v>7028656.1469999999</v>
      </c>
      <c r="Q29" s="24">
        <v>5849013.5590000004</v>
      </c>
      <c r="R29" s="24">
        <v>1327793.1250130001</v>
      </c>
    </row>
    <row r="30" spans="1:20" ht="15" x14ac:dyDescent="0.25">
      <c r="A30" s="20">
        <f t="shared" si="9"/>
        <v>2022</v>
      </c>
      <c r="B30" s="27">
        <f t="shared" ref="B30" si="10">B29*EXP(C30/100)</f>
        <v>1.0437060491609536</v>
      </c>
      <c r="C30" s="28">
        <f t="shared" si="3"/>
        <v>3.829125686906977</v>
      </c>
      <c r="D30" s="25">
        <f t="shared" si="4"/>
        <v>5.8931732962184569</v>
      </c>
      <c r="E30" s="28">
        <f t="shared" si="5"/>
        <v>1.5837971636224271</v>
      </c>
      <c r="F30" s="51">
        <f t="shared" si="5"/>
        <v>0.48025044568905251</v>
      </c>
      <c r="G30" s="25">
        <f t="shared" si="6"/>
        <v>2.407286938700004</v>
      </c>
      <c r="H30" s="25">
        <f t="shared" si="7"/>
        <v>1.4039040437426209</v>
      </c>
      <c r="I30" s="26">
        <f t="shared" si="8"/>
        <v>0.65791789842789483</v>
      </c>
      <c r="J30" s="26">
        <f t="shared" si="8"/>
        <v>0.34208210157210522</v>
      </c>
      <c r="K30" s="22">
        <f t="shared" si="0"/>
        <v>0.64821216495924971</v>
      </c>
      <c r="L30" s="48">
        <f t="shared" si="1"/>
        <v>0.35178783504075029</v>
      </c>
      <c r="M30" s="23">
        <v>401372.24814899999</v>
      </c>
      <c r="N30" s="23">
        <v>344993.93945100001</v>
      </c>
      <c r="O30" s="23">
        <v>217423.959726</v>
      </c>
      <c r="P30" s="24">
        <v>7199909.0729999999</v>
      </c>
      <c r="Q30" s="24">
        <v>6016859.8339999998</v>
      </c>
      <c r="R30" s="24">
        <v>1346565.531346</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E383-5A8D-40EA-BC41-52170D22A3AA}">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75</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0.65604235074633233</v>
      </c>
      <c r="L9" s="48">
        <f t="shared" ref="L9:L30" si="1">1-K9</f>
        <v>0.34395764925366767</v>
      </c>
      <c r="M9" s="23">
        <v>698576</v>
      </c>
      <c r="N9" s="24">
        <v>962547.10485718504</v>
      </c>
      <c r="O9" s="24">
        <v>328216</v>
      </c>
      <c r="P9" s="24">
        <v>29577575.199999999</v>
      </c>
      <c r="Q9" s="24">
        <v>21182478.699999999</v>
      </c>
      <c r="R9" s="24">
        <v>1641068.64427769</v>
      </c>
    </row>
    <row r="10" spans="1:18" ht="15" x14ac:dyDescent="0.25">
      <c r="A10" s="20">
        <v>2002</v>
      </c>
      <c r="B10" s="21">
        <f t="shared" ref="B10:B27" si="2">B11*EXP(-C11/100)</f>
        <v>0.7303027119913853</v>
      </c>
      <c r="C10" s="25">
        <f t="shared" ref="C10:C30" si="3">D10-E10-F10</f>
        <v>2.7915108876467576</v>
      </c>
      <c r="D10" s="25">
        <f t="shared" ref="D10:D30" si="4">(LN(N10)-LN(N9))*100</f>
        <v>1.7996641574596239</v>
      </c>
      <c r="E10" s="25">
        <f t="shared" ref="E10:F30" si="5">I10*G10</f>
        <v>-2.1419317640493336</v>
      </c>
      <c r="F10" s="47">
        <f t="shared" si="5"/>
        <v>1.1500850338622</v>
      </c>
      <c r="G10" s="25">
        <f t="shared" ref="G10:G30" si="6">(LN(P10)-LN(P9))*100</f>
        <v>-3.3158353200484214</v>
      </c>
      <c r="H10" s="25">
        <f t="shared" ref="H10:H30" si="7">(LN(R10)-LN(R9))*100</f>
        <v>3.248556967777283</v>
      </c>
      <c r="I10" s="26">
        <f t="shared" ref="I10:J30" si="8">(K10+K9)/2</f>
        <v>0.64597048927570222</v>
      </c>
      <c r="J10" s="26">
        <f t="shared" si="8"/>
        <v>0.35402951072429778</v>
      </c>
      <c r="K10" s="22">
        <f t="shared" si="0"/>
        <v>0.63589862780507211</v>
      </c>
      <c r="L10" s="48">
        <f t="shared" si="1"/>
        <v>0.36410137219492789</v>
      </c>
      <c r="M10" s="23">
        <v>719112</v>
      </c>
      <c r="N10" s="24">
        <v>980026.53384523594</v>
      </c>
      <c r="O10" s="24">
        <v>325632</v>
      </c>
      <c r="P10" s="24">
        <v>28612913.199999999</v>
      </c>
      <c r="Q10" s="24">
        <v>20375333.699999999</v>
      </c>
      <c r="R10" s="24">
        <v>1695255.0672613</v>
      </c>
    </row>
    <row r="11" spans="1:18" ht="15" x14ac:dyDescent="0.25">
      <c r="A11" s="20">
        <v>2003</v>
      </c>
      <c r="B11" s="21">
        <f t="shared" si="2"/>
        <v>0.7493790141286395</v>
      </c>
      <c r="C11" s="25">
        <f t="shared" si="3"/>
        <v>2.5785760253061456</v>
      </c>
      <c r="D11" s="25">
        <f t="shared" si="4"/>
        <v>3.2879557113025371</v>
      </c>
      <c r="E11" s="25">
        <f t="shared" si="5"/>
        <v>-0.56096372347781942</v>
      </c>
      <c r="F11" s="47">
        <f t="shared" si="5"/>
        <v>1.2703434094742108</v>
      </c>
      <c r="G11" s="25">
        <f t="shared" si="6"/>
        <v>-0.89682207432488781</v>
      </c>
      <c r="H11" s="25">
        <f t="shared" si="7"/>
        <v>3.3921205434262802</v>
      </c>
      <c r="I11" s="26">
        <f t="shared" si="8"/>
        <v>0.62550169039951786</v>
      </c>
      <c r="J11" s="26">
        <f t="shared" si="8"/>
        <v>0.37449830960048214</v>
      </c>
      <c r="K11" s="22">
        <f t="shared" si="0"/>
        <v>0.61510475299396361</v>
      </c>
      <c r="L11" s="48">
        <f t="shared" si="1"/>
        <v>0.38489524700603639</v>
      </c>
      <c r="M11" s="23">
        <v>749286</v>
      </c>
      <c r="N11" s="24">
        <v>1012784.9624355</v>
      </c>
      <c r="O11" s="24">
        <v>331386</v>
      </c>
      <c r="P11" s="24">
        <v>28357453.5</v>
      </c>
      <c r="Q11" s="24">
        <v>20389411.199999999</v>
      </c>
      <c r="R11" s="24">
        <v>1753746.6059198701</v>
      </c>
    </row>
    <row r="12" spans="1:18" ht="15" x14ac:dyDescent="0.25">
      <c r="A12" s="20">
        <v>2004</v>
      </c>
      <c r="B12" s="21">
        <f t="shared" si="2"/>
        <v>0.7834204442237771</v>
      </c>
      <c r="C12" s="25">
        <f t="shared" si="3"/>
        <v>4.4424635276475479</v>
      </c>
      <c r="D12" s="25">
        <f t="shared" si="4"/>
        <v>5.2812817059606942</v>
      </c>
      <c r="E12" s="25">
        <f t="shared" si="5"/>
        <v>0.681369176747598</v>
      </c>
      <c r="F12" s="47">
        <f t="shared" si="5"/>
        <v>0.15744900156554853</v>
      </c>
      <c r="G12" s="25">
        <f t="shared" si="6"/>
        <v>1.1442482748375227</v>
      </c>
      <c r="H12" s="25">
        <f t="shared" si="7"/>
        <v>0.38921772264011167</v>
      </c>
      <c r="I12" s="26">
        <f t="shared" si="8"/>
        <v>0.59547319557405398</v>
      </c>
      <c r="J12" s="26">
        <f t="shared" si="8"/>
        <v>0.40452680442594596</v>
      </c>
      <c r="K12" s="22">
        <f t="shared" si="0"/>
        <v>0.57584163815414446</v>
      </c>
      <c r="L12" s="48">
        <f t="shared" si="1"/>
        <v>0.42415836184585554</v>
      </c>
      <c r="M12" s="23">
        <v>829566</v>
      </c>
      <c r="N12" s="24">
        <v>1067710.6126050299</v>
      </c>
      <c r="O12" s="24">
        <v>346284</v>
      </c>
      <c r="P12" s="24">
        <v>28683796.699999999</v>
      </c>
      <c r="Q12" s="24">
        <v>20792899.399999999</v>
      </c>
      <c r="R12" s="24">
        <v>1760585.79956325</v>
      </c>
    </row>
    <row r="13" spans="1:18" ht="15" x14ac:dyDescent="0.25">
      <c r="A13" s="20">
        <v>2005</v>
      </c>
      <c r="B13" s="21">
        <f t="shared" si="2"/>
        <v>0.79721260646478032</v>
      </c>
      <c r="C13" s="25">
        <f t="shared" si="3"/>
        <v>1.7451883962292445</v>
      </c>
      <c r="D13" s="25">
        <f t="shared" si="4"/>
        <v>3.0689294865700489</v>
      </c>
      <c r="E13" s="25">
        <f t="shared" si="5"/>
        <v>1.0720254630714048</v>
      </c>
      <c r="F13" s="47">
        <f t="shared" si="5"/>
        <v>0.25171562726939972</v>
      </c>
      <c r="G13" s="25">
        <f t="shared" si="6"/>
        <v>1.8698408054113713</v>
      </c>
      <c r="H13" s="25">
        <f t="shared" si="7"/>
        <v>0.589946227215421</v>
      </c>
      <c r="I13" s="26">
        <f t="shared" si="8"/>
        <v>0.5733244562686477</v>
      </c>
      <c r="J13" s="26">
        <f t="shared" si="8"/>
        <v>0.42667554373135236</v>
      </c>
      <c r="K13" s="22">
        <f t="shared" si="0"/>
        <v>0.57080727438315082</v>
      </c>
      <c r="L13" s="48">
        <f t="shared" si="1"/>
        <v>0.42919272561684918</v>
      </c>
      <c r="M13" s="23">
        <v>873226</v>
      </c>
      <c r="N13" s="24">
        <v>1100985.88413208</v>
      </c>
      <c r="O13" s="24">
        <v>366292</v>
      </c>
      <c r="P13" s="24">
        <v>29225183.800000001</v>
      </c>
      <c r="Q13" s="24">
        <v>21476748.300000001</v>
      </c>
      <c r="R13" s="24">
        <v>1771003.0068121799</v>
      </c>
    </row>
    <row r="14" spans="1:18" ht="15" x14ac:dyDescent="0.25">
      <c r="A14" s="20">
        <v>2006</v>
      </c>
      <c r="B14" s="21">
        <f t="shared" si="2"/>
        <v>0.82898151131097653</v>
      </c>
      <c r="C14" s="25">
        <f t="shared" si="3"/>
        <v>3.9076450845706212</v>
      </c>
      <c r="D14" s="25">
        <f t="shared" si="4"/>
        <v>5.9953538254506</v>
      </c>
      <c r="E14" s="25">
        <f t="shared" si="5"/>
        <v>1.8113216713886084</v>
      </c>
      <c r="F14" s="47">
        <f t="shared" si="5"/>
        <v>0.27638706949137037</v>
      </c>
      <c r="G14" s="25">
        <f t="shared" si="6"/>
        <v>3.2033252592203354</v>
      </c>
      <c r="H14" s="25">
        <f t="shared" si="7"/>
        <v>0.63603117747899063</v>
      </c>
      <c r="I14" s="26">
        <f t="shared" si="8"/>
        <v>0.56545043815796281</v>
      </c>
      <c r="J14" s="26">
        <f t="shared" si="8"/>
        <v>0.43454956184203719</v>
      </c>
      <c r="K14" s="22">
        <f t="shared" si="0"/>
        <v>0.5600936019327748</v>
      </c>
      <c r="L14" s="48">
        <f t="shared" si="1"/>
        <v>0.4399063980672252</v>
      </c>
      <c r="M14" s="23">
        <v>941223</v>
      </c>
      <c r="N14" s="24">
        <v>1169012.7333681099</v>
      </c>
      <c r="O14" s="24">
        <v>393676</v>
      </c>
      <c r="P14" s="24">
        <v>30176517.300000001</v>
      </c>
      <c r="Q14" s="24">
        <v>22534862.5</v>
      </c>
      <c r="R14" s="24">
        <v>1782303.0358496199</v>
      </c>
    </row>
    <row r="15" spans="1:18" ht="15" x14ac:dyDescent="0.25">
      <c r="A15" s="20">
        <v>2007</v>
      </c>
      <c r="B15" s="21">
        <f t="shared" si="2"/>
        <v>0.84118213811757647</v>
      </c>
      <c r="C15" s="25">
        <f t="shared" si="3"/>
        <v>1.4610357304090322</v>
      </c>
      <c r="D15" s="25">
        <f t="shared" si="4"/>
        <v>6.5777970525784824</v>
      </c>
      <c r="E15" s="25">
        <f t="shared" si="5"/>
        <v>2.3805446133587567</v>
      </c>
      <c r="F15" s="47">
        <f t="shared" si="5"/>
        <v>2.7362167088106939</v>
      </c>
      <c r="G15" s="25">
        <f t="shared" si="6"/>
        <v>4.2546177970184118</v>
      </c>
      <c r="H15" s="25">
        <f t="shared" si="7"/>
        <v>6.2119005849449849</v>
      </c>
      <c r="I15" s="26">
        <f t="shared" si="8"/>
        <v>0.55952020297264193</v>
      </c>
      <c r="J15" s="26">
        <f t="shared" si="8"/>
        <v>0.44047979702735807</v>
      </c>
      <c r="K15" s="22">
        <f t="shared" si="0"/>
        <v>0.55894680401250907</v>
      </c>
      <c r="L15" s="48">
        <f t="shared" si="1"/>
        <v>0.44105319598749093</v>
      </c>
      <c r="M15" s="23">
        <v>1038360</v>
      </c>
      <c r="N15" s="24">
        <v>1248493.4013817699</v>
      </c>
      <c r="O15" s="24">
        <v>439632</v>
      </c>
      <c r="P15" s="24">
        <v>31488116.699999999</v>
      </c>
      <c r="Q15" s="24">
        <v>23851602.100000001</v>
      </c>
      <c r="R15" s="24">
        <v>1896529.00165414</v>
      </c>
    </row>
    <row r="16" spans="1:18" ht="15" x14ac:dyDescent="0.25">
      <c r="A16" s="20">
        <v>2008</v>
      </c>
      <c r="B16" s="21">
        <f t="shared" si="2"/>
        <v>0.85208276387195003</v>
      </c>
      <c r="C16" s="25">
        <f t="shared" si="3"/>
        <v>1.2875453014862459</v>
      </c>
      <c r="D16" s="25">
        <f t="shared" si="4"/>
        <v>4.0692878714514436</v>
      </c>
      <c r="E16" s="25">
        <f t="shared" si="5"/>
        <v>1.9049893239908511</v>
      </c>
      <c r="F16" s="47">
        <f t="shared" si="5"/>
        <v>0.87675324597434645</v>
      </c>
      <c r="G16" s="25">
        <f t="shared" si="6"/>
        <v>3.3435621702849971</v>
      </c>
      <c r="H16" s="25">
        <f t="shared" si="7"/>
        <v>2.0377688856466847</v>
      </c>
      <c r="I16" s="26">
        <f t="shared" si="8"/>
        <v>0.56974843803441955</v>
      </c>
      <c r="J16" s="26">
        <f t="shared" si="8"/>
        <v>0.43025156196558051</v>
      </c>
      <c r="K16" s="22">
        <f t="shared" si="0"/>
        <v>0.58055007205632991</v>
      </c>
      <c r="L16" s="48">
        <f t="shared" si="1"/>
        <v>0.41944992794367009</v>
      </c>
      <c r="M16" s="23">
        <v>1126401</v>
      </c>
      <c r="N16" s="24">
        <v>1300346.0537047801</v>
      </c>
      <c r="O16" s="24">
        <v>499051</v>
      </c>
      <c r="P16" s="24">
        <v>32558740.199999999</v>
      </c>
      <c r="Q16" s="24">
        <v>24847334.800000001</v>
      </c>
      <c r="R16" s="24">
        <v>1935572.33495273</v>
      </c>
    </row>
    <row r="17" spans="1:20" ht="15" x14ac:dyDescent="0.25">
      <c r="A17" s="20">
        <v>2009</v>
      </c>
      <c r="B17" s="21">
        <f t="shared" si="2"/>
        <v>0.864345153764286</v>
      </c>
      <c r="C17" s="25">
        <f t="shared" si="3"/>
        <v>1.4288509748995477</v>
      </c>
      <c r="D17" s="25">
        <f t="shared" si="4"/>
        <v>2.8458609541758051</v>
      </c>
      <c r="E17" s="25">
        <f t="shared" si="5"/>
        <v>-0.22242836122200096</v>
      </c>
      <c r="F17" s="47">
        <f t="shared" si="5"/>
        <v>1.6394383404982584</v>
      </c>
      <c r="G17" s="25">
        <f t="shared" si="6"/>
        <v>-0.39179084210338999</v>
      </c>
      <c r="H17" s="25">
        <f t="shared" si="7"/>
        <v>3.7925573873131668</v>
      </c>
      <c r="I17" s="26">
        <f t="shared" si="8"/>
        <v>0.56772220613391511</v>
      </c>
      <c r="J17" s="26">
        <f t="shared" si="8"/>
        <v>0.43227779386608484</v>
      </c>
      <c r="K17" s="22">
        <f t="shared" si="0"/>
        <v>0.55489434021150041</v>
      </c>
      <c r="L17" s="48">
        <f t="shared" si="1"/>
        <v>0.44510565978849959</v>
      </c>
      <c r="M17" s="23">
        <v>1221462</v>
      </c>
      <c r="N17" s="24">
        <v>1337883.6954407601</v>
      </c>
      <c r="O17" s="24">
        <v>518763</v>
      </c>
      <c r="P17" s="24">
        <v>32431427.600000001</v>
      </c>
      <c r="Q17" s="24">
        <v>24822459.100000001</v>
      </c>
      <c r="R17" s="24">
        <v>2010389.80671599</v>
      </c>
    </row>
    <row r="18" spans="1:20" ht="15" x14ac:dyDescent="0.25">
      <c r="A18" s="20">
        <v>2010</v>
      </c>
      <c r="B18" s="21">
        <f t="shared" si="2"/>
        <v>0.88087457952384052</v>
      </c>
      <c r="C18" s="25">
        <f t="shared" si="3"/>
        <v>1.894308175264555</v>
      </c>
      <c r="D18" s="25">
        <f t="shared" si="4"/>
        <v>3.0673389122004124</v>
      </c>
      <c r="E18" s="25">
        <f t="shared" si="5"/>
        <v>-1.6524557744200787</v>
      </c>
      <c r="F18" s="47">
        <f t="shared" si="5"/>
        <v>2.8254865113559364</v>
      </c>
      <c r="G18" s="25">
        <f t="shared" si="6"/>
        <v>-2.9436609782976575</v>
      </c>
      <c r="H18" s="25">
        <f t="shared" si="7"/>
        <v>6.441481464919363</v>
      </c>
      <c r="I18" s="26">
        <f t="shared" si="8"/>
        <v>0.56136076355358933</v>
      </c>
      <c r="J18" s="26">
        <f t="shared" si="8"/>
        <v>0.43863923644641073</v>
      </c>
      <c r="K18" s="22">
        <f t="shared" si="0"/>
        <v>0.56782718689567813</v>
      </c>
      <c r="L18" s="48">
        <f t="shared" si="1"/>
        <v>0.43217281310432187</v>
      </c>
      <c r="M18" s="23">
        <v>1267828</v>
      </c>
      <c r="N18" s="24">
        <v>1379556.9858249901</v>
      </c>
      <c r="O18" s="24">
        <v>551731</v>
      </c>
      <c r="P18" s="24">
        <v>31490670.600000001</v>
      </c>
      <c r="Q18" s="24">
        <v>24134192.600000001</v>
      </c>
      <c r="R18" s="24">
        <v>2144150.5320905498</v>
      </c>
    </row>
    <row r="19" spans="1:20" ht="15" x14ac:dyDescent="0.25">
      <c r="A19" s="20">
        <v>2011</v>
      </c>
      <c r="B19" s="21">
        <f t="shared" si="2"/>
        <v>0.90313876273645988</v>
      </c>
      <c r="C19" s="25">
        <f t="shared" si="3"/>
        <v>2.496095589295158</v>
      </c>
      <c r="D19" s="25">
        <f t="shared" si="4"/>
        <v>5.0650156287366244</v>
      </c>
      <c r="E19" s="25">
        <f t="shared" si="5"/>
        <v>0.17450957126266065</v>
      </c>
      <c r="F19" s="47">
        <f t="shared" si="5"/>
        <v>2.3944104681788057</v>
      </c>
      <c r="G19" s="25">
        <f t="shared" si="6"/>
        <v>0.31030122360355961</v>
      </c>
      <c r="H19" s="25">
        <f t="shared" si="7"/>
        <v>5.4715329350276676</v>
      </c>
      <c r="I19" s="26">
        <f t="shared" si="8"/>
        <v>0.56238763494408206</v>
      </c>
      <c r="J19" s="26">
        <f t="shared" si="8"/>
        <v>0.43761236505591794</v>
      </c>
      <c r="K19" s="22">
        <f t="shared" si="0"/>
        <v>0.55694808299248599</v>
      </c>
      <c r="L19" s="48">
        <f t="shared" si="1"/>
        <v>0.44305191700751401</v>
      </c>
      <c r="M19" s="23">
        <v>1374078</v>
      </c>
      <c r="N19" s="24">
        <v>1451231.60570065</v>
      </c>
      <c r="O19" s="24">
        <v>586167</v>
      </c>
      <c r="P19" s="24">
        <v>31588538.300000001</v>
      </c>
      <c r="Q19" s="24">
        <v>24194953.699999999</v>
      </c>
      <c r="R19" s="24">
        <v>2264737.3251130502</v>
      </c>
    </row>
    <row r="20" spans="1:20" ht="15" x14ac:dyDescent="0.25">
      <c r="A20" s="20">
        <v>2012</v>
      </c>
      <c r="B20" s="21">
        <f t="shared" si="2"/>
        <v>0.90368177759476276</v>
      </c>
      <c r="C20" s="25">
        <f t="shared" si="3"/>
        <v>6.0107228419264525E-2</v>
      </c>
      <c r="D20" s="25">
        <f t="shared" si="4"/>
        <v>1.3330589907321055</v>
      </c>
      <c r="E20" s="25">
        <f t="shared" si="5"/>
        <v>-7.8177267361880173E-2</v>
      </c>
      <c r="F20" s="47">
        <f t="shared" si="5"/>
        <v>1.3511290296747211</v>
      </c>
      <c r="G20" s="25">
        <f t="shared" si="6"/>
        <v>-0.14097985936167845</v>
      </c>
      <c r="H20" s="25">
        <f t="shared" si="7"/>
        <v>3.0330273722402268</v>
      </c>
      <c r="I20" s="26">
        <f t="shared" si="8"/>
        <v>0.55452791424141923</v>
      </c>
      <c r="J20" s="26">
        <f t="shared" si="8"/>
        <v>0.44547208575858077</v>
      </c>
      <c r="K20" s="22">
        <f t="shared" si="0"/>
        <v>0.55210774549035246</v>
      </c>
      <c r="L20" s="48">
        <f t="shared" si="1"/>
        <v>0.44789225450964754</v>
      </c>
      <c r="M20" s="23">
        <v>1436474</v>
      </c>
      <c r="N20" s="24">
        <v>1470706.89926944</v>
      </c>
      <c r="O20" s="24">
        <v>610515</v>
      </c>
      <c r="P20" s="24">
        <v>31544036.199999999</v>
      </c>
      <c r="Q20" s="24">
        <v>24282421.399999999</v>
      </c>
      <c r="R20" s="24">
        <v>2334479.7348790499</v>
      </c>
    </row>
    <row r="21" spans="1:20" ht="15" x14ac:dyDescent="0.25">
      <c r="A21" s="20">
        <v>2013</v>
      </c>
      <c r="B21" s="21">
        <f t="shared" si="2"/>
        <v>0.8908233221959625</v>
      </c>
      <c r="C21" s="25">
        <f t="shared" si="3"/>
        <v>-1.4331166263616146</v>
      </c>
      <c r="D21" s="25">
        <f t="shared" si="4"/>
        <v>0.60537188473688275</v>
      </c>
      <c r="E21" s="25">
        <f t="shared" si="5"/>
        <v>-0.13879121469229747</v>
      </c>
      <c r="F21" s="47">
        <f t="shared" si="5"/>
        <v>2.177279725790795</v>
      </c>
      <c r="G21" s="25">
        <f t="shared" si="6"/>
        <v>-0.2507532221283526</v>
      </c>
      <c r="H21" s="25">
        <f t="shared" si="7"/>
        <v>4.8762961581283903</v>
      </c>
      <c r="I21" s="26">
        <f t="shared" si="8"/>
        <v>0.55349723331273748</v>
      </c>
      <c r="J21" s="26">
        <f t="shared" si="8"/>
        <v>0.44650276668726246</v>
      </c>
      <c r="K21" s="22">
        <f t="shared" si="0"/>
        <v>0.55488672113512261</v>
      </c>
      <c r="L21" s="48">
        <f t="shared" si="1"/>
        <v>0.44511327886487739</v>
      </c>
      <c r="M21" s="23">
        <v>1451790</v>
      </c>
      <c r="N21" s="24">
        <v>1479637.14868149</v>
      </c>
      <c r="O21" s="24">
        <v>622394</v>
      </c>
      <c r="P21" s="24">
        <v>31465037.600000001</v>
      </c>
      <c r="Q21" s="24">
        <v>24310031.399999999</v>
      </c>
      <c r="R21" s="24">
        <v>2451137.0434446102</v>
      </c>
    </row>
    <row r="22" spans="1:20" ht="15" x14ac:dyDescent="0.25">
      <c r="A22" s="20">
        <v>2014</v>
      </c>
      <c r="B22" s="21">
        <f t="shared" si="2"/>
        <v>0.89415557803124146</v>
      </c>
      <c r="C22" s="25">
        <f t="shared" si="3"/>
        <v>0.37336684550190524</v>
      </c>
      <c r="D22" s="25">
        <f t="shared" si="4"/>
        <v>3.7585205743560834</v>
      </c>
      <c r="E22" s="25">
        <f t="shared" si="5"/>
        <v>1.1275262824266379</v>
      </c>
      <c r="F22" s="47">
        <f t="shared" si="5"/>
        <v>2.2576274464275401</v>
      </c>
      <c r="G22" s="25">
        <f t="shared" si="6"/>
        <v>2.0353873145982249</v>
      </c>
      <c r="H22" s="25">
        <f t="shared" si="7"/>
        <v>5.0615084277335853</v>
      </c>
      <c r="I22" s="26">
        <f t="shared" si="8"/>
        <v>0.55396153564473105</v>
      </c>
      <c r="J22" s="26">
        <f t="shared" si="8"/>
        <v>0.44603846435526895</v>
      </c>
      <c r="K22" s="22">
        <f t="shared" si="0"/>
        <v>0.5530363501543395</v>
      </c>
      <c r="L22" s="48">
        <f t="shared" si="1"/>
        <v>0.4469636498456605</v>
      </c>
      <c r="M22" s="23">
        <v>1515422</v>
      </c>
      <c r="N22" s="24">
        <v>1536307.9357724199</v>
      </c>
      <c r="O22" s="24">
        <v>650622</v>
      </c>
      <c r="P22" s="24">
        <v>32112035.100000001</v>
      </c>
      <c r="Q22" s="24">
        <v>24929255.5</v>
      </c>
      <c r="R22" s="24">
        <v>2578394.96959608</v>
      </c>
    </row>
    <row r="23" spans="1:20" ht="15" x14ac:dyDescent="0.25">
      <c r="A23" s="20">
        <v>2015</v>
      </c>
      <c r="B23" s="21">
        <f t="shared" si="2"/>
        <v>0.91469375369078321</v>
      </c>
      <c r="C23" s="25">
        <f t="shared" si="3"/>
        <v>2.2709529156170145</v>
      </c>
      <c r="D23" s="25">
        <f t="shared" si="4"/>
        <v>4.4663356421317246</v>
      </c>
      <c r="E23" s="25">
        <f t="shared" si="5"/>
        <v>1.0316100534396944</v>
      </c>
      <c r="F23" s="47">
        <f t="shared" si="5"/>
        <v>1.1637726730750162</v>
      </c>
      <c r="G23" s="25">
        <f t="shared" si="6"/>
        <v>1.8837417296666104</v>
      </c>
      <c r="H23" s="25">
        <f t="shared" si="7"/>
        <v>2.5726624291493749</v>
      </c>
      <c r="I23" s="26">
        <f t="shared" si="8"/>
        <v>0.54763879633450152</v>
      </c>
      <c r="J23" s="26">
        <f t="shared" si="8"/>
        <v>0.45236120366549842</v>
      </c>
      <c r="K23" s="22">
        <f t="shared" si="0"/>
        <v>0.54224124251466366</v>
      </c>
      <c r="L23" s="48">
        <f t="shared" si="1"/>
        <v>0.45775875748533634</v>
      </c>
      <c r="M23" s="23">
        <v>1606480</v>
      </c>
      <c r="N23" s="24">
        <v>1606480</v>
      </c>
      <c r="O23" s="24">
        <v>677137</v>
      </c>
      <c r="P23" s="24">
        <v>32722676.300000001</v>
      </c>
      <c r="Q23" s="24">
        <v>25436508.100000001</v>
      </c>
      <c r="R23" s="24">
        <v>2645589</v>
      </c>
    </row>
    <row r="24" spans="1:20" ht="15" x14ac:dyDescent="0.25">
      <c r="A24" s="20">
        <v>2016</v>
      </c>
      <c r="B24" s="21">
        <f t="shared" si="2"/>
        <v>0.92448222601055863</v>
      </c>
      <c r="C24" s="25">
        <f t="shared" si="3"/>
        <v>1.0644511293876375</v>
      </c>
      <c r="D24" s="25">
        <f t="shared" si="4"/>
        <v>2.8565222380057875</v>
      </c>
      <c r="E24" s="25">
        <f t="shared" si="5"/>
        <v>0.5115664453739881</v>
      </c>
      <c r="F24" s="47">
        <f t="shared" si="5"/>
        <v>1.2805046632441619</v>
      </c>
      <c r="G24" s="25">
        <f t="shared" si="6"/>
        <v>0.92934910767219492</v>
      </c>
      <c r="H24" s="25">
        <f t="shared" si="7"/>
        <v>2.8484568019402801</v>
      </c>
      <c r="I24" s="26">
        <f t="shared" si="8"/>
        <v>0.55045670260053725</v>
      </c>
      <c r="J24" s="26">
        <f t="shared" si="8"/>
        <v>0.44954329739946275</v>
      </c>
      <c r="K24" s="22">
        <f t="shared" si="0"/>
        <v>0.55867216268641084</v>
      </c>
      <c r="L24" s="48">
        <f t="shared" si="1"/>
        <v>0.44132783731358916</v>
      </c>
      <c r="M24" s="23">
        <v>1648760</v>
      </c>
      <c r="N24" s="24">
        <v>1653031.16531647</v>
      </c>
      <c r="O24" s="24">
        <v>720801</v>
      </c>
      <c r="P24" s="24">
        <v>33028201.699999999</v>
      </c>
      <c r="Q24" s="24">
        <v>25845553.300000001</v>
      </c>
      <c r="R24" s="24">
        <v>2722031</v>
      </c>
    </row>
    <row r="25" spans="1:20" ht="15" x14ac:dyDescent="0.25">
      <c r="A25" s="20">
        <v>2017</v>
      </c>
      <c r="B25" s="21">
        <f t="shared" si="2"/>
        <v>0.95935366320546989</v>
      </c>
      <c r="C25" s="25">
        <f t="shared" si="3"/>
        <v>3.702596509476483</v>
      </c>
      <c r="D25" s="25">
        <f t="shared" si="4"/>
        <v>4.8866743128458623</v>
      </c>
      <c r="E25" s="25">
        <f t="shared" si="5"/>
        <v>0.13673355915446322</v>
      </c>
      <c r="F25" s="47">
        <f t="shared" si="5"/>
        <v>1.0473442442149159</v>
      </c>
      <c r="G25" s="25">
        <f t="shared" si="6"/>
        <v>0.2442745164970006</v>
      </c>
      <c r="H25" s="25">
        <f t="shared" si="7"/>
        <v>2.3789960140174315</v>
      </c>
      <c r="I25" s="26">
        <f t="shared" si="8"/>
        <v>0.5597536784240944</v>
      </c>
      <c r="J25" s="26">
        <f t="shared" si="8"/>
        <v>0.4402463215759056</v>
      </c>
      <c r="K25" s="22">
        <f t="shared" si="0"/>
        <v>0.56083519416177796</v>
      </c>
      <c r="L25" s="48">
        <f t="shared" si="1"/>
        <v>0.43916480583822204</v>
      </c>
      <c r="M25" s="23">
        <v>1754526</v>
      </c>
      <c r="N25" s="24">
        <v>1735815.6454479101</v>
      </c>
      <c r="O25" s="24">
        <v>774468</v>
      </c>
      <c r="P25" s="24">
        <v>33108979.800000001</v>
      </c>
      <c r="Q25" s="24">
        <v>26058787.800000001</v>
      </c>
      <c r="R25" s="24">
        <v>2787564.4371610498</v>
      </c>
    </row>
    <row r="26" spans="1:20" ht="15" x14ac:dyDescent="0.25">
      <c r="A26" s="20">
        <v>2018</v>
      </c>
      <c r="B26" s="21">
        <f t="shared" si="2"/>
        <v>1.0109219166111014</v>
      </c>
      <c r="C26" s="25">
        <f t="shared" si="3"/>
        <v>5.2358191999633519</v>
      </c>
      <c r="D26" s="25">
        <f t="shared" si="4"/>
        <v>6.0548363424871354</v>
      </c>
      <c r="E26" s="25">
        <f t="shared" si="5"/>
        <v>-0.45441248826022484</v>
      </c>
      <c r="F26" s="47">
        <f t="shared" si="5"/>
        <v>1.2734296307840083</v>
      </c>
      <c r="G26" s="25">
        <f t="shared" si="6"/>
        <v>-0.80752750785997307</v>
      </c>
      <c r="H26" s="25">
        <f t="shared" si="7"/>
        <v>2.912165722510629</v>
      </c>
      <c r="I26" s="26">
        <f t="shared" si="8"/>
        <v>0.56272075420001777</v>
      </c>
      <c r="J26" s="26">
        <f t="shared" si="8"/>
        <v>0.43727924579998223</v>
      </c>
      <c r="K26" s="22">
        <f t="shared" si="0"/>
        <v>0.56460631423825758</v>
      </c>
      <c r="L26" s="48">
        <f t="shared" si="1"/>
        <v>0.43539368576174242</v>
      </c>
      <c r="M26" s="23">
        <v>1883514</v>
      </c>
      <c r="N26" s="24">
        <v>1844163.4849849001</v>
      </c>
      <c r="O26" s="24">
        <v>839349</v>
      </c>
      <c r="P26" s="24">
        <v>32842692.300000001</v>
      </c>
      <c r="Q26" s="24">
        <v>25921894.899999999</v>
      </c>
      <c r="R26" s="24">
        <v>2869936.5175734102</v>
      </c>
    </row>
    <row r="27" spans="1:20" ht="15" x14ac:dyDescent="0.25">
      <c r="A27" s="20">
        <f>A26+1</f>
        <v>2019</v>
      </c>
      <c r="B27" s="21">
        <f t="shared" si="2"/>
        <v>1.0252556972593214</v>
      </c>
      <c r="C27" s="25">
        <f t="shared" si="3"/>
        <v>1.4079338982278988</v>
      </c>
      <c r="D27" s="25">
        <f t="shared" si="4"/>
        <v>4.3828930313262404</v>
      </c>
      <c r="E27" s="25">
        <f t="shared" si="5"/>
        <v>1.6352273654849656</v>
      </c>
      <c r="F27" s="47">
        <f t="shared" si="5"/>
        <v>1.3397317676133762</v>
      </c>
      <c r="G27" s="25">
        <f t="shared" si="6"/>
        <v>2.8930720272011712</v>
      </c>
      <c r="H27" s="25">
        <f t="shared" si="7"/>
        <v>3.0814142785697385</v>
      </c>
      <c r="I27" s="26">
        <f t="shared" si="8"/>
        <v>0.56522179541686857</v>
      </c>
      <c r="J27" s="26">
        <f t="shared" si="8"/>
        <v>0.43477820458313149</v>
      </c>
      <c r="K27" s="22">
        <f t="shared" si="0"/>
        <v>0.56583727659547944</v>
      </c>
      <c r="L27" s="48">
        <f t="shared" si="1"/>
        <v>0.43416272340452056</v>
      </c>
      <c r="M27" s="23">
        <v>2036872</v>
      </c>
      <c r="N27" s="24">
        <v>1926788.65801148</v>
      </c>
      <c r="O27" s="24">
        <v>915121</v>
      </c>
      <c r="P27" s="24">
        <v>33806733</v>
      </c>
      <c r="Q27" s="24">
        <v>26842714.5</v>
      </c>
      <c r="R27" s="24">
        <v>2959747.7733530402</v>
      </c>
    </row>
    <row r="28" spans="1:20" ht="15" x14ac:dyDescent="0.25">
      <c r="A28" s="20">
        <f t="shared" ref="A28:A30" si="9">A27+1</f>
        <v>2020</v>
      </c>
      <c r="B28" s="21">
        <v>1</v>
      </c>
      <c r="C28" s="25">
        <f t="shared" si="3"/>
        <v>-2.494204222101593</v>
      </c>
      <c r="D28" s="25">
        <f t="shared" si="4"/>
        <v>-2.0818050452003689</v>
      </c>
      <c r="E28" s="25">
        <f t="shared" si="5"/>
        <v>-0.44143457501067357</v>
      </c>
      <c r="F28" s="47">
        <f t="shared" si="5"/>
        <v>0.85383375191189748</v>
      </c>
      <c r="G28" s="25">
        <f t="shared" si="6"/>
        <v>-0.77138309392132953</v>
      </c>
      <c r="H28" s="25">
        <f t="shared" si="7"/>
        <v>1.9961687460176236</v>
      </c>
      <c r="I28" s="26">
        <f t="shared" si="8"/>
        <v>0.57226374092104981</v>
      </c>
      <c r="J28" s="26">
        <f t="shared" si="8"/>
        <v>0.42773625907895024</v>
      </c>
      <c r="K28" s="22">
        <f t="shared" si="0"/>
        <v>0.57869020524662007</v>
      </c>
      <c r="L28" s="48">
        <f t="shared" si="1"/>
        <v>0.42130979475337993</v>
      </c>
      <c r="M28" s="23">
        <v>2084829</v>
      </c>
      <c r="N28" s="24">
        <v>1887091.31881988</v>
      </c>
      <c r="O28" s="24">
        <v>956762</v>
      </c>
      <c r="P28" s="24">
        <v>33546956.800000001</v>
      </c>
      <c r="Q28" s="24">
        <v>26603604.100000001</v>
      </c>
      <c r="R28" s="24">
        <v>3019422.9605375002</v>
      </c>
    </row>
    <row r="29" spans="1:20" ht="15" x14ac:dyDescent="0.25">
      <c r="A29" s="20">
        <f t="shared" si="9"/>
        <v>2021</v>
      </c>
      <c r="B29" s="21">
        <f>B28*EXP(C29/100)</f>
        <v>1.0211941548121093</v>
      </c>
      <c r="C29" s="25">
        <f t="shared" si="3"/>
        <v>2.0972682526379263</v>
      </c>
      <c r="D29" s="25">
        <f t="shared" si="4"/>
        <v>6.4188341188907927</v>
      </c>
      <c r="E29" s="25">
        <f t="shared" si="5"/>
        <v>3.1696331497869314</v>
      </c>
      <c r="F29" s="47">
        <f t="shared" si="5"/>
        <v>1.1519327164659352</v>
      </c>
      <c r="G29" s="25">
        <f t="shared" si="6"/>
        <v>5.5450585954410769</v>
      </c>
      <c r="H29" s="25">
        <f t="shared" si="7"/>
        <v>2.6890064777639111</v>
      </c>
      <c r="I29" s="26">
        <f t="shared" si="8"/>
        <v>0.57161400465504109</v>
      </c>
      <c r="J29" s="26">
        <f t="shared" si="8"/>
        <v>0.42838599534495891</v>
      </c>
      <c r="K29" s="22">
        <f t="shared" si="0"/>
        <v>0.5645378040634621</v>
      </c>
      <c r="L29" s="48">
        <f t="shared" si="1"/>
        <v>0.4354621959365379</v>
      </c>
      <c r="M29" s="23">
        <v>2320410</v>
      </c>
      <c r="N29" s="24">
        <v>2012192.65383302</v>
      </c>
      <c r="O29" s="24">
        <v>1031331</v>
      </c>
      <c r="P29" s="24">
        <v>35459696.399999999</v>
      </c>
      <c r="Q29" s="24">
        <v>27917423</v>
      </c>
      <c r="R29" s="24">
        <v>3101716.9258971098</v>
      </c>
    </row>
    <row r="30" spans="1:20" ht="15" x14ac:dyDescent="0.25">
      <c r="A30" s="20">
        <f t="shared" si="9"/>
        <v>2022</v>
      </c>
      <c r="B30" s="27">
        <f t="shared" ref="B30" si="10">B29*EXP(C30/100)</f>
        <v>1.0612805615150975</v>
      </c>
      <c r="C30" s="28">
        <f t="shared" si="3"/>
        <v>3.8503573360909655</v>
      </c>
      <c r="D30" s="25">
        <f t="shared" si="4"/>
        <v>5.3123188416465794</v>
      </c>
      <c r="E30" s="28">
        <f t="shared" si="5"/>
        <v>0.32940341870474843</v>
      </c>
      <c r="F30" s="51">
        <f t="shared" si="5"/>
        <v>1.1325580868508658</v>
      </c>
      <c r="G30" s="25">
        <f t="shared" si="6"/>
        <v>0.59707721838044847</v>
      </c>
      <c r="H30" s="25">
        <f t="shared" si="7"/>
        <v>2.5263011657116863</v>
      </c>
      <c r="I30" s="26">
        <f t="shared" si="8"/>
        <v>0.55169316223158527</v>
      </c>
      <c r="J30" s="26">
        <f t="shared" si="8"/>
        <v>0.44830683776841468</v>
      </c>
      <c r="K30" s="22">
        <f t="shared" si="0"/>
        <v>0.53884852039970854</v>
      </c>
      <c r="L30" s="48">
        <f t="shared" si="1"/>
        <v>0.46115147960029146</v>
      </c>
      <c r="M30" s="23">
        <v>2766246</v>
      </c>
      <c r="N30" s="23">
        <v>2121976.9727757298</v>
      </c>
      <c r="O30" s="23">
        <v>1171448</v>
      </c>
      <c r="P30" s="24">
        <v>35672051.5</v>
      </c>
      <c r="Q30" s="24">
        <v>28034551.199999999</v>
      </c>
      <c r="R30" s="24">
        <v>3181073.81318792</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248F-4357-4AE0-B2B8-7DA777CDD7C9}">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76</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0.69579010547096498</v>
      </c>
      <c r="L9" s="48">
        <f t="shared" ref="L9:L30" si="1">1-K9</f>
        <v>0.30420989452903502</v>
      </c>
      <c r="M9" s="23">
        <v>119058.97500000001</v>
      </c>
      <c r="N9" s="24">
        <v>152109.75082723299</v>
      </c>
      <c r="O9" s="24">
        <v>65394.807999999997</v>
      </c>
      <c r="P9" s="24">
        <v>9767341.0739999991</v>
      </c>
      <c r="Q9" s="24">
        <v>7710441.29</v>
      </c>
      <c r="R9" s="24">
        <v>505007.444225188</v>
      </c>
    </row>
    <row r="10" spans="1:18" ht="15" x14ac:dyDescent="0.25">
      <c r="A10" s="20">
        <v>2002</v>
      </c>
      <c r="B10" s="21">
        <f t="shared" ref="B10:B27" si="2">B11*EXP(-C11/100)</f>
        <v>0.88279895831903421</v>
      </c>
      <c r="C10" s="25">
        <f t="shared" ref="C10:C30" si="3">D10-E10-F10</f>
        <v>-0.31064044676017999</v>
      </c>
      <c r="D10" s="25">
        <f t="shared" ref="D10:D30" si="4">(LN(N10)-LN(N9))*100</f>
        <v>0.66412129799608977</v>
      </c>
      <c r="E10" s="25">
        <f t="shared" ref="E10:F30" si="5">I10*G10</f>
        <v>1.4201404008713153E-2</v>
      </c>
      <c r="F10" s="47">
        <f t="shared" si="5"/>
        <v>0.96056034074755658</v>
      </c>
      <c r="G10" s="25">
        <f t="shared" ref="G10:G30" si="6">(LN(P10)-LN(P9))*100</f>
        <v>2.0488247209016208E-2</v>
      </c>
      <c r="H10" s="25">
        <f t="shared" ref="H10:H30" si="7">(LN(R10)-LN(R9))*100</f>
        <v>3.1303783303302524</v>
      </c>
      <c r="I10" s="26">
        <f t="shared" ref="I10:J30" si="8">(K10+K9)/2</f>
        <v>0.6931488020343477</v>
      </c>
      <c r="J10" s="26">
        <f t="shared" si="8"/>
        <v>0.30685119796565236</v>
      </c>
      <c r="K10" s="22">
        <f t="shared" si="0"/>
        <v>0.69050749859773031</v>
      </c>
      <c r="L10" s="48">
        <f t="shared" si="1"/>
        <v>0.30949250140226969</v>
      </c>
      <c r="M10" s="23">
        <v>124675.02</v>
      </c>
      <c r="N10" s="24">
        <v>153123.3059713</v>
      </c>
      <c r="O10" s="24">
        <v>68422.346999999994</v>
      </c>
      <c r="P10" s="24">
        <v>9769342.4360000007</v>
      </c>
      <c r="Q10" s="24">
        <v>7764535.04</v>
      </c>
      <c r="R10" s="24">
        <v>521066.12522114703</v>
      </c>
    </row>
    <row r="11" spans="1:18" ht="15" x14ac:dyDescent="0.25">
      <c r="A11" s="20">
        <v>2003</v>
      </c>
      <c r="B11" s="21">
        <f t="shared" si="2"/>
        <v>0.87772780918639448</v>
      </c>
      <c r="C11" s="25">
        <f t="shared" si="3"/>
        <v>-0.57609611527919546</v>
      </c>
      <c r="D11" s="25">
        <f t="shared" si="4"/>
        <v>-0.83233473893162824</v>
      </c>
      <c r="E11" s="25">
        <f t="shared" si="5"/>
        <v>-0.92460115282352529</v>
      </c>
      <c r="F11" s="47">
        <f t="shared" si="5"/>
        <v>0.66836252917109251</v>
      </c>
      <c r="G11" s="25">
        <f t="shared" si="6"/>
        <v>-1.3418118929866552</v>
      </c>
      <c r="H11" s="25">
        <f t="shared" si="7"/>
        <v>2.1495534609625722</v>
      </c>
      <c r="I11" s="26">
        <f t="shared" si="8"/>
        <v>0.68906912932893549</v>
      </c>
      <c r="J11" s="26">
        <f t="shared" si="8"/>
        <v>0.31093087067106445</v>
      </c>
      <c r="K11" s="22">
        <f t="shared" si="0"/>
        <v>0.68763076006014079</v>
      </c>
      <c r="L11" s="48">
        <f t="shared" si="1"/>
        <v>0.31236923993985921</v>
      </c>
      <c r="M11" s="23">
        <v>127682.55</v>
      </c>
      <c r="N11" s="24">
        <v>151854.09686381501</v>
      </c>
      <c r="O11" s="24">
        <v>69832.134999999995</v>
      </c>
      <c r="P11" s="24">
        <v>9639131.7819999997</v>
      </c>
      <c r="Q11" s="24">
        <v>7666663.3669999996</v>
      </c>
      <c r="R11" s="24">
        <v>532387.96874707099</v>
      </c>
    </row>
    <row r="12" spans="1:18" ht="15" x14ac:dyDescent="0.25">
      <c r="A12" s="20">
        <v>2004</v>
      </c>
      <c r="B12" s="21">
        <f t="shared" si="2"/>
        <v>0.88893626719227359</v>
      </c>
      <c r="C12" s="25">
        <f t="shared" si="3"/>
        <v>1.2689009241450044</v>
      </c>
      <c r="D12" s="25">
        <f t="shared" si="4"/>
        <v>1.642546804812639</v>
      </c>
      <c r="E12" s="25">
        <f t="shared" si="5"/>
        <v>-0.26235678119162176</v>
      </c>
      <c r="F12" s="47">
        <f t="shared" si="5"/>
        <v>0.63600266185925625</v>
      </c>
      <c r="G12" s="25">
        <f t="shared" si="6"/>
        <v>-0.38462070905964652</v>
      </c>
      <c r="H12" s="25">
        <f t="shared" si="7"/>
        <v>2.0007519718504341</v>
      </c>
      <c r="I12" s="26">
        <f t="shared" si="8"/>
        <v>0.68211818815750713</v>
      </c>
      <c r="J12" s="26">
        <f t="shared" si="8"/>
        <v>0.31788181184249287</v>
      </c>
      <c r="K12" s="22">
        <f t="shared" si="0"/>
        <v>0.67660561625487348</v>
      </c>
      <c r="L12" s="48">
        <f t="shared" si="1"/>
        <v>0.32339438374512652</v>
      </c>
      <c r="M12" s="23">
        <v>133071.726</v>
      </c>
      <c r="N12" s="24">
        <v>154368.968913463</v>
      </c>
      <c r="O12" s="24">
        <v>72361.740000000005</v>
      </c>
      <c r="P12" s="24">
        <v>9602128.8910000008</v>
      </c>
      <c r="Q12" s="24">
        <v>7717118.0590000004</v>
      </c>
      <c r="R12" s="24">
        <v>543147.00342710002</v>
      </c>
    </row>
    <row r="13" spans="1:18" ht="15" x14ac:dyDescent="0.25">
      <c r="A13" s="20">
        <v>2005</v>
      </c>
      <c r="B13" s="21">
        <f t="shared" si="2"/>
        <v>0.89016945923766422</v>
      </c>
      <c r="C13" s="25">
        <f t="shared" si="3"/>
        <v>0.13863057429030878</v>
      </c>
      <c r="D13" s="25">
        <f t="shared" si="4"/>
        <v>0.4862851821828329</v>
      </c>
      <c r="E13" s="25">
        <f t="shared" si="5"/>
        <v>-0.23873276890077158</v>
      </c>
      <c r="F13" s="47">
        <f t="shared" si="5"/>
        <v>0.58638737679329567</v>
      </c>
      <c r="G13" s="25">
        <f t="shared" si="6"/>
        <v>-0.35117758358076401</v>
      </c>
      <c r="H13" s="25">
        <f t="shared" si="7"/>
        <v>1.8313525849153578</v>
      </c>
      <c r="I13" s="26">
        <f t="shared" si="8"/>
        <v>0.67980640013108262</v>
      </c>
      <c r="J13" s="26">
        <f t="shared" si="8"/>
        <v>0.32019359986891743</v>
      </c>
      <c r="K13" s="22">
        <f t="shared" si="0"/>
        <v>0.68300718400729166</v>
      </c>
      <c r="L13" s="48">
        <f t="shared" si="1"/>
        <v>0.31699281599270834</v>
      </c>
      <c r="M13" s="23">
        <v>137401.03700000001</v>
      </c>
      <c r="N13" s="24">
        <v>155121.47050415599</v>
      </c>
      <c r="O13" s="24">
        <v>75781.482999999993</v>
      </c>
      <c r="P13" s="24">
        <v>9568467.5069999993</v>
      </c>
      <c r="Q13" s="24">
        <v>7726631.5690000001</v>
      </c>
      <c r="R13" s="24">
        <v>553185.58041957102</v>
      </c>
    </row>
    <row r="14" spans="1:18" ht="15" x14ac:dyDescent="0.25">
      <c r="A14" s="20">
        <v>2006</v>
      </c>
      <c r="B14" s="21">
        <f t="shared" si="2"/>
        <v>0.90138206420333999</v>
      </c>
      <c r="C14" s="25">
        <f t="shared" si="3"/>
        <v>1.2517364108086659</v>
      </c>
      <c r="D14" s="25">
        <f t="shared" si="4"/>
        <v>1.6162282351313451</v>
      </c>
      <c r="E14" s="25">
        <f t="shared" si="5"/>
        <v>-0.15505566594556905</v>
      </c>
      <c r="F14" s="47">
        <f t="shared" si="5"/>
        <v>0.51954749026824831</v>
      </c>
      <c r="G14" s="25">
        <f t="shared" si="6"/>
        <v>-0.22988398813943434</v>
      </c>
      <c r="H14" s="25">
        <f t="shared" si="7"/>
        <v>1.5961289200266293</v>
      </c>
      <c r="I14" s="26">
        <f t="shared" si="8"/>
        <v>0.67449528434107919</v>
      </c>
      <c r="J14" s="26">
        <f t="shared" si="8"/>
        <v>0.32550471565892081</v>
      </c>
      <c r="K14" s="22">
        <f t="shared" si="0"/>
        <v>0.66598338467486673</v>
      </c>
      <c r="L14" s="48">
        <f t="shared" si="1"/>
        <v>0.33401661532513327</v>
      </c>
      <c r="M14" s="23">
        <v>143475.04199999999</v>
      </c>
      <c r="N14" s="24">
        <v>157648.957469374</v>
      </c>
      <c r="O14" s="24">
        <v>77895.369000000006</v>
      </c>
      <c r="P14" s="24">
        <v>9546496.3959999997</v>
      </c>
      <c r="Q14" s="24">
        <v>7782442.0779999997</v>
      </c>
      <c r="R14" s="24">
        <v>562085.97739848599</v>
      </c>
    </row>
    <row r="15" spans="1:18" ht="15" x14ac:dyDescent="0.25">
      <c r="A15" s="20">
        <v>2007</v>
      </c>
      <c r="B15" s="21">
        <f t="shared" si="2"/>
        <v>0.91616287731924972</v>
      </c>
      <c r="C15" s="25">
        <f t="shared" si="3"/>
        <v>1.6264950186832015</v>
      </c>
      <c r="D15" s="25">
        <f t="shared" si="4"/>
        <v>2.7856896010396426</v>
      </c>
      <c r="E15" s="25">
        <f t="shared" si="5"/>
        <v>0.60674095112458148</v>
      </c>
      <c r="F15" s="47">
        <f t="shared" si="5"/>
        <v>0.55245363123185942</v>
      </c>
      <c r="G15" s="25">
        <f t="shared" si="6"/>
        <v>0.91905132970317993</v>
      </c>
      <c r="H15" s="25">
        <f t="shared" si="7"/>
        <v>1.6257328581067654</v>
      </c>
      <c r="I15" s="26">
        <f t="shared" si="8"/>
        <v>0.66018178910696612</v>
      </c>
      <c r="J15" s="26">
        <f t="shared" si="8"/>
        <v>0.33981821089303382</v>
      </c>
      <c r="K15" s="22">
        <f t="shared" si="0"/>
        <v>0.65438019353906562</v>
      </c>
      <c r="L15" s="48">
        <f t="shared" si="1"/>
        <v>0.34561980646093438</v>
      </c>
      <c r="M15" s="23">
        <v>152061.79699999999</v>
      </c>
      <c r="N15" s="24">
        <v>162102.30836808399</v>
      </c>
      <c r="O15" s="24">
        <v>81065.225000000006</v>
      </c>
      <c r="P15" s="24">
        <v>9634638.0109999999</v>
      </c>
      <c r="Q15" s="24">
        <v>7849097.6160000004</v>
      </c>
      <c r="R15" s="24">
        <v>571298.67786375899</v>
      </c>
    </row>
    <row r="16" spans="1:18" ht="15" x14ac:dyDescent="0.25">
      <c r="A16" s="20">
        <v>2008</v>
      </c>
      <c r="B16" s="21">
        <f t="shared" si="2"/>
        <v>0.91946704567188431</v>
      </c>
      <c r="C16" s="25">
        <f t="shared" si="3"/>
        <v>0.36000414678725018</v>
      </c>
      <c r="D16" s="25">
        <f t="shared" si="4"/>
        <v>0.64240628281684309</v>
      </c>
      <c r="E16" s="25">
        <f t="shared" si="5"/>
        <v>-0.21347673066330231</v>
      </c>
      <c r="F16" s="47">
        <f t="shared" si="5"/>
        <v>0.49587886669289521</v>
      </c>
      <c r="G16" s="25">
        <f t="shared" si="6"/>
        <v>-0.32596067006487317</v>
      </c>
      <c r="H16" s="25">
        <f t="shared" si="7"/>
        <v>1.4369785457208906</v>
      </c>
      <c r="I16" s="26">
        <f t="shared" si="8"/>
        <v>0.65491560874757027</v>
      </c>
      <c r="J16" s="26">
        <f t="shared" si="8"/>
        <v>0.34508439125242968</v>
      </c>
      <c r="K16" s="22">
        <f t="shared" si="0"/>
        <v>0.65545102395607502</v>
      </c>
      <c r="L16" s="48">
        <f t="shared" si="1"/>
        <v>0.34454897604392498</v>
      </c>
      <c r="M16" s="23">
        <v>156036.81</v>
      </c>
      <c r="N16" s="24">
        <v>163147.01582199501</v>
      </c>
      <c r="O16" s="24">
        <v>83676.91</v>
      </c>
      <c r="P16" s="24">
        <v>9603284.0089999996</v>
      </c>
      <c r="Q16" s="24">
        <v>7857024.3289999999</v>
      </c>
      <c r="R16" s="24">
        <v>579567.38478509197</v>
      </c>
    </row>
    <row r="17" spans="1:20" ht="15" x14ac:dyDescent="0.25">
      <c r="A17" s="20">
        <v>2009</v>
      </c>
      <c r="B17" s="21">
        <f t="shared" si="2"/>
        <v>0.90951110940743729</v>
      </c>
      <c r="C17" s="25">
        <f t="shared" si="3"/>
        <v>-1.0886991267255373</v>
      </c>
      <c r="D17" s="25">
        <f t="shared" si="4"/>
        <v>-2.6422422055652817</v>
      </c>
      <c r="E17" s="25">
        <f t="shared" si="5"/>
        <v>-1.7930849517653444</v>
      </c>
      <c r="F17" s="47">
        <f t="shared" si="5"/>
        <v>0.23954187292560011</v>
      </c>
      <c r="G17" s="25">
        <f t="shared" si="6"/>
        <v>-2.7400896926319973</v>
      </c>
      <c r="H17" s="25">
        <f t="shared" si="7"/>
        <v>0.69309707611022731</v>
      </c>
      <c r="I17" s="26">
        <f t="shared" si="8"/>
        <v>0.65438914521188318</v>
      </c>
      <c r="J17" s="26">
        <f t="shared" si="8"/>
        <v>0.34561085478811682</v>
      </c>
      <c r="K17" s="22">
        <f t="shared" si="0"/>
        <v>0.65332726646769135</v>
      </c>
      <c r="L17" s="48">
        <f t="shared" si="1"/>
        <v>0.34667273353230865</v>
      </c>
      <c r="M17" s="23">
        <v>155410.323</v>
      </c>
      <c r="N17" s="24">
        <v>158892.728308966</v>
      </c>
      <c r="O17" s="24">
        <v>83655.138000000006</v>
      </c>
      <c r="P17" s="24">
        <v>9343717.8269999996</v>
      </c>
      <c r="Q17" s="24">
        <v>7698421.5369999995</v>
      </c>
      <c r="R17" s="24">
        <v>583598.30233241501</v>
      </c>
    </row>
    <row r="18" spans="1:20" ht="15" x14ac:dyDescent="0.25">
      <c r="A18" s="20">
        <v>2010</v>
      </c>
      <c r="B18" s="21">
        <f t="shared" si="2"/>
        <v>0.92948923329999045</v>
      </c>
      <c r="C18" s="25">
        <f t="shared" si="3"/>
        <v>2.1728011034959209</v>
      </c>
      <c r="D18" s="25">
        <f t="shared" si="4"/>
        <v>1.5352666541033955</v>
      </c>
      <c r="E18" s="25">
        <f t="shared" si="5"/>
        <v>-0.8347946800086502</v>
      </c>
      <c r="F18" s="47">
        <f t="shared" si="5"/>
        <v>0.19726023061612494</v>
      </c>
      <c r="G18" s="25">
        <f t="shared" si="6"/>
        <v>-1.2838686207679473</v>
      </c>
      <c r="H18" s="25">
        <f t="shared" si="7"/>
        <v>0.56395216294511386</v>
      </c>
      <c r="I18" s="26">
        <f t="shared" si="8"/>
        <v>0.65021815044386466</v>
      </c>
      <c r="J18" s="26">
        <f t="shared" si="8"/>
        <v>0.34978184955613534</v>
      </c>
      <c r="K18" s="22">
        <f t="shared" si="0"/>
        <v>0.64710903442003798</v>
      </c>
      <c r="L18" s="48">
        <f t="shared" si="1"/>
        <v>0.35289096557996202</v>
      </c>
      <c r="M18" s="23">
        <v>158032.302</v>
      </c>
      <c r="N18" s="24">
        <v>161350.977437244</v>
      </c>
      <c r="O18" s="24">
        <v>85209.062999999995</v>
      </c>
      <c r="P18" s="24">
        <v>9224523.5519999992</v>
      </c>
      <c r="Q18" s="24">
        <v>7686106.6119999997</v>
      </c>
      <c r="R18" s="24">
        <v>586898.81549149205</v>
      </c>
    </row>
    <row r="19" spans="1:20" ht="15" x14ac:dyDescent="0.25">
      <c r="A19" s="20">
        <v>2011</v>
      </c>
      <c r="B19" s="21">
        <f t="shared" si="2"/>
        <v>0.94159136335208227</v>
      </c>
      <c r="C19" s="25">
        <f t="shared" si="3"/>
        <v>1.293615982309505</v>
      </c>
      <c r="D19" s="25">
        <f t="shared" si="4"/>
        <v>-1.0188234259913997</v>
      </c>
      <c r="E19" s="25">
        <f t="shared" si="5"/>
        <v>-2.166221580162599</v>
      </c>
      <c r="F19" s="47">
        <f t="shared" si="5"/>
        <v>-0.14621782813830572</v>
      </c>
      <c r="G19" s="25">
        <f t="shared" si="6"/>
        <v>-3.372365526689336</v>
      </c>
      <c r="H19" s="25">
        <f t="shared" si="7"/>
        <v>-0.40882347784521045</v>
      </c>
      <c r="I19" s="26">
        <f t="shared" si="8"/>
        <v>0.64234483570029455</v>
      </c>
      <c r="J19" s="26">
        <f t="shared" si="8"/>
        <v>0.35765516429970545</v>
      </c>
      <c r="K19" s="22">
        <f t="shared" si="0"/>
        <v>0.63758063698055112</v>
      </c>
      <c r="L19" s="48">
        <f t="shared" si="1"/>
        <v>0.36241936301944888</v>
      </c>
      <c r="M19" s="23">
        <v>154177.96599999999</v>
      </c>
      <c r="N19" s="24">
        <v>159715.44163934799</v>
      </c>
      <c r="O19" s="24">
        <v>82025.065000000002</v>
      </c>
      <c r="P19" s="24">
        <v>8918625.8839999996</v>
      </c>
      <c r="Q19" s="24">
        <v>7441956.0120000001</v>
      </c>
      <c r="R19" s="24">
        <v>584504.33328033995</v>
      </c>
    </row>
    <row r="20" spans="1:20" ht="15" x14ac:dyDescent="0.25">
      <c r="A20" s="20">
        <v>2012</v>
      </c>
      <c r="B20" s="21">
        <f t="shared" si="2"/>
        <v>0.94762880905206148</v>
      </c>
      <c r="C20" s="25">
        <f t="shared" si="3"/>
        <v>0.63914903526905253</v>
      </c>
      <c r="D20" s="25">
        <f t="shared" si="4"/>
        <v>-3.2882155298034732</v>
      </c>
      <c r="E20" s="25">
        <f t="shared" si="5"/>
        <v>-3.3641726366324973</v>
      </c>
      <c r="F20" s="47">
        <f t="shared" si="5"/>
        <v>-0.56319192844002841</v>
      </c>
      <c r="G20" s="25">
        <f t="shared" si="6"/>
        <v>-5.3606774101243815</v>
      </c>
      <c r="H20" s="25">
        <f t="shared" si="7"/>
        <v>-1.5121878436946901</v>
      </c>
      <c r="I20" s="26">
        <f t="shared" si="8"/>
        <v>0.62756483542150687</v>
      </c>
      <c r="J20" s="26">
        <f t="shared" si="8"/>
        <v>0.37243516457849307</v>
      </c>
      <c r="K20" s="22">
        <f t="shared" si="0"/>
        <v>0.61754903386246274</v>
      </c>
      <c r="L20" s="48">
        <f t="shared" si="1"/>
        <v>0.38245096613753726</v>
      </c>
      <c r="M20" s="23">
        <v>147300.54199999999</v>
      </c>
      <c r="N20" s="24">
        <v>154549.06006268499</v>
      </c>
      <c r="O20" s="24">
        <v>75744.069000000003</v>
      </c>
      <c r="P20" s="24">
        <v>8453115.8389999997</v>
      </c>
      <c r="Q20" s="24">
        <v>7038654.71</v>
      </c>
      <c r="R20" s="24">
        <v>575732.02386878501</v>
      </c>
    </row>
    <row r="21" spans="1:20" ht="15" x14ac:dyDescent="0.25">
      <c r="A21" s="20">
        <v>2013</v>
      </c>
      <c r="B21" s="21">
        <f t="shared" si="2"/>
        <v>0.96145328171176625</v>
      </c>
      <c r="C21" s="25">
        <f t="shared" si="3"/>
        <v>1.4483100939211981</v>
      </c>
      <c r="D21" s="25">
        <f t="shared" si="4"/>
        <v>-0.63826510905986567</v>
      </c>
      <c r="E21" s="25">
        <f t="shared" si="5"/>
        <v>-1.4378117315860954</v>
      </c>
      <c r="F21" s="47">
        <f t="shared" si="5"/>
        <v>-0.64876347139496848</v>
      </c>
      <c r="G21" s="25">
        <f t="shared" si="6"/>
        <v>-2.3448918022586085</v>
      </c>
      <c r="H21" s="25">
        <f t="shared" si="7"/>
        <v>-1.6771178144736609</v>
      </c>
      <c r="I21" s="26">
        <f t="shared" si="8"/>
        <v>0.61316762257481983</v>
      </c>
      <c r="J21" s="26">
        <f t="shared" si="8"/>
        <v>0.38683237742518017</v>
      </c>
      <c r="K21" s="22">
        <f t="shared" si="0"/>
        <v>0.60878621128717691</v>
      </c>
      <c r="L21" s="48">
        <f t="shared" si="1"/>
        <v>0.39121378871282309</v>
      </c>
      <c r="M21" s="23">
        <v>149851.516</v>
      </c>
      <c r="N21" s="24">
        <v>153565.76867697001</v>
      </c>
      <c r="O21" s="24">
        <v>76603.303</v>
      </c>
      <c r="P21" s="24">
        <v>8257205.3399999999</v>
      </c>
      <c r="Q21" s="24">
        <v>6933533.7290000003</v>
      </c>
      <c r="R21" s="24">
        <v>566156.83754591004</v>
      </c>
    </row>
    <row r="22" spans="1:20" ht="15" x14ac:dyDescent="0.25">
      <c r="A22" s="20">
        <v>2014</v>
      </c>
      <c r="B22" s="21">
        <f t="shared" si="2"/>
        <v>0.95852363527087681</v>
      </c>
      <c r="C22" s="25">
        <f t="shared" si="3"/>
        <v>-0.30517541004529147</v>
      </c>
      <c r="D22" s="25">
        <f t="shared" si="4"/>
        <v>0.2773626871087842</v>
      </c>
      <c r="E22" s="25">
        <f t="shared" si="5"/>
        <v>1.1936658743753732</v>
      </c>
      <c r="F22" s="47">
        <f t="shared" si="5"/>
        <v>-0.61112777722129752</v>
      </c>
      <c r="G22" s="25">
        <f t="shared" si="6"/>
        <v>1.9732197816615837</v>
      </c>
      <c r="H22" s="25">
        <f t="shared" si="7"/>
        <v>-1.5468967673241352</v>
      </c>
      <c r="I22" s="26">
        <f t="shared" si="8"/>
        <v>0.6049330568590926</v>
      </c>
      <c r="J22" s="26">
        <f t="shared" si="8"/>
        <v>0.3950669431409074</v>
      </c>
      <c r="K22" s="22">
        <f t="shared" si="0"/>
        <v>0.60107990243100828</v>
      </c>
      <c r="L22" s="48">
        <f t="shared" si="1"/>
        <v>0.39892009756899172</v>
      </c>
      <c r="M22" s="23">
        <v>151138.891</v>
      </c>
      <c r="N22" s="24">
        <v>153992.294057141</v>
      </c>
      <c r="O22" s="24">
        <v>76707.152000000002</v>
      </c>
      <c r="P22" s="24">
        <v>8421756.2860000003</v>
      </c>
      <c r="Q22" s="24">
        <v>7110990.352</v>
      </c>
      <c r="R22" s="24">
        <v>557466.36533856299</v>
      </c>
    </row>
    <row r="23" spans="1:20" ht="15" x14ac:dyDescent="0.25">
      <c r="A23" s="20">
        <v>2015</v>
      </c>
      <c r="B23" s="21">
        <f t="shared" si="2"/>
        <v>0.96563733239917415</v>
      </c>
      <c r="C23" s="25">
        <f t="shared" si="3"/>
        <v>0.73941106365990206</v>
      </c>
      <c r="D23" s="25">
        <f t="shared" si="4"/>
        <v>1.3470336707195329</v>
      </c>
      <c r="E23" s="25">
        <f t="shared" si="5"/>
        <v>1.0984255746216269</v>
      </c>
      <c r="F23" s="47">
        <f t="shared" si="5"/>
        <v>-0.49080296756199604</v>
      </c>
      <c r="G23" s="25">
        <f t="shared" si="6"/>
        <v>1.8373185490171196</v>
      </c>
      <c r="H23" s="25">
        <f t="shared" si="7"/>
        <v>-1.2204222092544015</v>
      </c>
      <c r="I23" s="26">
        <f t="shared" si="8"/>
        <v>0.59784166181157528</v>
      </c>
      <c r="J23" s="26">
        <f t="shared" si="8"/>
        <v>0.40215833818842472</v>
      </c>
      <c r="K23" s="22">
        <f t="shared" si="0"/>
        <v>0.59460342119214227</v>
      </c>
      <c r="L23" s="48">
        <f t="shared" si="1"/>
        <v>0.40539657880785773</v>
      </c>
      <c r="M23" s="23">
        <v>156080.65599999999</v>
      </c>
      <c r="N23" s="24">
        <v>156080.65599999999</v>
      </c>
      <c r="O23" s="24">
        <v>78646.197</v>
      </c>
      <c r="P23" s="24">
        <v>8577921.0050000008</v>
      </c>
      <c r="Q23" s="24">
        <v>7269144.1950000003</v>
      </c>
      <c r="R23" s="24">
        <v>550704.26899999997</v>
      </c>
    </row>
    <row r="24" spans="1:20" ht="15" x14ac:dyDescent="0.25">
      <c r="A24" s="20">
        <v>2016</v>
      </c>
      <c r="B24" s="21">
        <f t="shared" si="2"/>
        <v>0.9747056807388198</v>
      </c>
      <c r="C24" s="25">
        <f t="shared" si="3"/>
        <v>0.93472280970830013</v>
      </c>
      <c r="D24" s="25">
        <f t="shared" si="4"/>
        <v>1.7123915980175042</v>
      </c>
      <c r="E24" s="25">
        <f t="shared" si="5"/>
        <v>1.2275676677553982</v>
      </c>
      <c r="F24" s="47">
        <f t="shared" si="5"/>
        <v>-0.44989887944619411</v>
      </c>
      <c r="G24" s="25">
        <f t="shared" si="6"/>
        <v>2.0711469400957583</v>
      </c>
      <c r="H24" s="25">
        <f t="shared" si="7"/>
        <v>-1.1045869879334091</v>
      </c>
      <c r="I24" s="26">
        <f t="shared" si="8"/>
        <v>0.59269945747965247</v>
      </c>
      <c r="J24" s="26">
        <f t="shared" si="8"/>
        <v>0.40730054252034753</v>
      </c>
      <c r="K24" s="22">
        <f t="shared" si="0"/>
        <v>0.59079549376716267</v>
      </c>
      <c r="L24" s="48">
        <f t="shared" si="1"/>
        <v>0.40920450623283733</v>
      </c>
      <c r="M24" s="23">
        <v>161745.03</v>
      </c>
      <c r="N24" s="24">
        <v>158776.38286799801</v>
      </c>
      <c r="O24" s="24">
        <v>81294.115999999995</v>
      </c>
      <c r="P24" s="24">
        <v>8757434.9350000005</v>
      </c>
      <c r="Q24" s="24">
        <v>7450199.6869999999</v>
      </c>
      <c r="R24" s="24">
        <v>544654.73400000005</v>
      </c>
    </row>
    <row r="25" spans="1:20" ht="15" x14ac:dyDescent="0.25">
      <c r="A25" s="20">
        <v>2017</v>
      </c>
      <c r="B25" s="21">
        <f t="shared" si="2"/>
        <v>0.9921730340475482</v>
      </c>
      <c r="C25" s="25">
        <f t="shared" si="3"/>
        <v>1.7761962038974888</v>
      </c>
      <c r="D25" s="25">
        <f t="shared" si="4"/>
        <v>3.1447756390104331</v>
      </c>
      <c r="E25" s="25">
        <f t="shared" si="5"/>
        <v>1.5755623838966855</v>
      </c>
      <c r="F25" s="47">
        <f t="shared" si="5"/>
        <v>-0.20698294878374124</v>
      </c>
      <c r="G25" s="25">
        <f t="shared" si="6"/>
        <v>2.656971080458348</v>
      </c>
      <c r="H25" s="25">
        <f t="shared" si="7"/>
        <v>-0.50854751844973123</v>
      </c>
      <c r="I25" s="26">
        <f t="shared" si="8"/>
        <v>0.5929919205687737</v>
      </c>
      <c r="J25" s="26">
        <f t="shared" si="8"/>
        <v>0.4070080794312263</v>
      </c>
      <c r="K25" s="22">
        <f t="shared" si="0"/>
        <v>0.59518834737038473</v>
      </c>
      <c r="L25" s="48">
        <f t="shared" si="1"/>
        <v>0.40481165262961527</v>
      </c>
      <c r="M25" s="23">
        <v>169071.37</v>
      </c>
      <c r="N25" s="24">
        <v>163848.88525102401</v>
      </c>
      <c r="O25" s="24">
        <v>85900.274000000005</v>
      </c>
      <c r="P25" s="24">
        <v>8993236.1620000005</v>
      </c>
      <c r="Q25" s="24">
        <v>7676903.04</v>
      </c>
      <c r="R25" s="24">
        <v>541891.93688849802</v>
      </c>
    </row>
    <row r="26" spans="1:20" ht="15" x14ac:dyDescent="0.25">
      <c r="A26" s="20">
        <v>2018</v>
      </c>
      <c r="B26" s="21">
        <f t="shared" si="2"/>
        <v>1.0037238920206912</v>
      </c>
      <c r="C26" s="25">
        <f t="shared" si="3"/>
        <v>1.1574732925301172</v>
      </c>
      <c r="D26" s="25">
        <f t="shared" si="4"/>
        <v>2.8212181584995832</v>
      </c>
      <c r="E26" s="25">
        <f t="shared" si="5"/>
        <v>1.7685769283978494</v>
      </c>
      <c r="F26" s="47">
        <f t="shared" si="5"/>
        <v>-0.1048320624283833</v>
      </c>
      <c r="G26" s="25">
        <f t="shared" si="6"/>
        <v>2.9431194767472135</v>
      </c>
      <c r="H26" s="25">
        <f t="shared" si="7"/>
        <v>-0.2626837871085641</v>
      </c>
      <c r="I26" s="26">
        <f t="shared" si="8"/>
        <v>0.60091917517141069</v>
      </c>
      <c r="J26" s="26">
        <f t="shared" si="8"/>
        <v>0.39908082482858925</v>
      </c>
      <c r="K26" s="22">
        <f t="shared" si="0"/>
        <v>0.60665000297243676</v>
      </c>
      <c r="L26" s="48">
        <f t="shared" si="1"/>
        <v>0.39334999702756324</v>
      </c>
      <c r="M26" s="23">
        <v>177157.334</v>
      </c>
      <c r="N26" s="24">
        <v>168537.24319521501</v>
      </c>
      <c r="O26" s="24">
        <v>91521.846000000005</v>
      </c>
      <c r="P26" s="24">
        <v>9261851.2899999991</v>
      </c>
      <c r="Q26" s="24">
        <v>7887243.2439999999</v>
      </c>
      <c r="R26" s="24">
        <v>540470.34259295999</v>
      </c>
    </row>
    <row r="27" spans="1:20" ht="15" x14ac:dyDescent="0.25">
      <c r="A27" s="20">
        <f>A26+1</f>
        <v>2019</v>
      </c>
      <c r="B27" s="21">
        <f t="shared" si="2"/>
        <v>1.0244618544590991</v>
      </c>
      <c r="C27" s="25">
        <f t="shared" si="3"/>
        <v>2.0450479178789158</v>
      </c>
      <c r="D27" s="25">
        <f t="shared" si="4"/>
        <v>2.6773080412846539</v>
      </c>
      <c r="E27" s="25">
        <f t="shared" si="5"/>
        <v>0.66060167402692116</v>
      </c>
      <c r="F27" s="47">
        <f t="shared" si="5"/>
        <v>-2.8341550621182945E-2</v>
      </c>
      <c r="G27" s="25">
        <f t="shared" si="6"/>
        <v>1.0818384080970134</v>
      </c>
      <c r="H27" s="25">
        <f t="shared" si="7"/>
        <v>-7.2787996694323454E-2</v>
      </c>
      <c r="I27" s="26">
        <f t="shared" si="8"/>
        <v>0.61062878622412708</v>
      </c>
      <c r="J27" s="26">
        <f t="shared" si="8"/>
        <v>0.38937121377587286</v>
      </c>
      <c r="K27" s="22">
        <f t="shared" si="0"/>
        <v>0.61460756947581752</v>
      </c>
      <c r="L27" s="48">
        <f t="shared" si="1"/>
        <v>0.38539243052418248</v>
      </c>
      <c r="M27" s="23">
        <v>185473.87400000001</v>
      </c>
      <c r="N27" s="24">
        <v>173110.45061601599</v>
      </c>
      <c r="O27" s="24">
        <v>96957.536999999997</v>
      </c>
      <c r="P27" s="24">
        <v>9362593.5059999991</v>
      </c>
      <c r="Q27" s="24">
        <v>7963373.6699999999</v>
      </c>
      <c r="R27" s="24">
        <v>540077.08819621999</v>
      </c>
    </row>
    <row r="28" spans="1:20" ht="15" x14ac:dyDescent="0.25">
      <c r="A28" s="20">
        <f t="shared" ref="A28:A30" si="9">A27+1</f>
        <v>2020</v>
      </c>
      <c r="B28" s="21">
        <v>1</v>
      </c>
      <c r="C28" s="25">
        <f t="shared" si="3"/>
        <v>-2.4167454679188158</v>
      </c>
      <c r="D28" s="25">
        <f t="shared" si="4"/>
        <v>-7.9527458687506325</v>
      </c>
      <c r="E28" s="25">
        <f t="shared" si="5"/>
        <v>-5.3884936532461083</v>
      </c>
      <c r="F28" s="47">
        <f t="shared" si="5"/>
        <v>-0.1475067475857085</v>
      </c>
      <c r="G28" s="25">
        <f t="shared" si="6"/>
        <v>-8.5582338562876004</v>
      </c>
      <c r="H28" s="25">
        <f t="shared" si="7"/>
        <v>-0.3982652079837834</v>
      </c>
      <c r="I28" s="26">
        <f t="shared" si="8"/>
        <v>0.62962682998984265</v>
      </c>
      <c r="J28" s="26">
        <f t="shared" si="8"/>
        <v>0.3703731700101574</v>
      </c>
      <c r="K28" s="22">
        <f t="shared" si="0"/>
        <v>0.64464609050386767</v>
      </c>
      <c r="L28" s="48">
        <f t="shared" si="1"/>
        <v>0.35535390949613233</v>
      </c>
      <c r="M28" s="23">
        <v>175104.28700000001</v>
      </c>
      <c r="N28" s="24">
        <v>159876.61715347099</v>
      </c>
      <c r="O28" s="24">
        <v>96895.013999999996</v>
      </c>
      <c r="P28" s="24">
        <v>8594650.6950000003</v>
      </c>
      <c r="Q28" s="24">
        <v>7377539.2460000003</v>
      </c>
      <c r="R28" s="24">
        <v>537930.42659822397</v>
      </c>
    </row>
    <row r="29" spans="1:20" ht="15" x14ac:dyDescent="0.25">
      <c r="A29" s="20">
        <f t="shared" si="9"/>
        <v>2021</v>
      </c>
      <c r="B29" s="21">
        <f>B28*EXP(C29/100)</f>
        <v>1.0235269499170405</v>
      </c>
      <c r="C29" s="25">
        <f t="shared" si="3"/>
        <v>2.3254456907908567</v>
      </c>
      <c r="D29" s="25">
        <f t="shared" si="4"/>
        <v>5.1535574872552559</v>
      </c>
      <c r="E29" s="25">
        <f t="shared" si="5"/>
        <v>2.8274398023855345</v>
      </c>
      <c r="F29" s="47">
        <f t="shared" si="5"/>
        <v>6.7199407886457197E-4</v>
      </c>
      <c r="G29" s="25">
        <f t="shared" si="6"/>
        <v>4.3937907585132052</v>
      </c>
      <c r="H29" s="25">
        <f t="shared" si="7"/>
        <v>1.8850190386388022E-3</v>
      </c>
      <c r="I29" s="26">
        <f t="shared" si="8"/>
        <v>0.64350806804061356</v>
      </c>
      <c r="J29" s="26">
        <f t="shared" si="8"/>
        <v>0.3564919319593865</v>
      </c>
      <c r="K29" s="22">
        <f t="shared" si="0"/>
        <v>0.64237004557735933</v>
      </c>
      <c r="L29" s="48">
        <f t="shared" si="1"/>
        <v>0.35762995442264067</v>
      </c>
      <c r="M29" s="23">
        <v>187361.45800000001</v>
      </c>
      <c r="N29" s="24">
        <v>168331.95455848399</v>
      </c>
      <c r="O29" s="24">
        <v>103756.21</v>
      </c>
      <c r="P29" s="24">
        <v>8980700.6720000003</v>
      </c>
      <c r="Q29" s="24">
        <v>7742100.108</v>
      </c>
      <c r="R29" s="24">
        <v>537940.56678475195</v>
      </c>
    </row>
    <row r="30" spans="1:20" ht="15" x14ac:dyDescent="0.25">
      <c r="A30" s="20">
        <f t="shared" si="9"/>
        <v>2022</v>
      </c>
      <c r="B30" s="27">
        <f t="shared" ref="B30" si="10">B29*EXP(C30/100)</f>
        <v>1.0530189485302961</v>
      </c>
      <c r="C30" s="28">
        <f t="shared" si="3"/>
        <v>2.8406770887624773</v>
      </c>
      <c r="D30" s="25">
        <f t="shared" si="4"/>
        <v>6.6854570979897332</v>
      </c>
      <c r="E30" s="28">
        <f t="shared" si="5"/>
        <v>3.8064173085156905</v>
      </c>
      <c r="F30" s="51">
        <f t="shared" si="5"/>
        <v>3.8362700711565299E-2</v>
      </c>
      <c r="G30" s="25">
        <f t="shared" si="6"/>
        <v>6.0034516669063009</v>
      </c>
      <c r="H30" s="25">
        <f t="shared" si="7"/>
        <v>0.10482704499104045</v>
      </c>
      <c r="I30" s="26">
        <f t="shared" si="8"/>
        <v>0.63403813667699827</v>
      </c>
      <c r="J30" s="26">
        <f t="shared" si="8"/>
        <v>0.36596186332300173</v>
      </c>
      <c r="K30" s="22">
        <f t="shared" si="0"/>
        <v>0.6257062277766372</v>
      </c>
      <c r="L30" s="48">
        <f t="shared" si="1"/>
        <v>0.3742937722233628</v>
      </c>
      <c r="M30" s="23">
        <v>211027.88399999999</v>
      </c>
      <c r="N30" s="23">
        <v>179970.42301616899</v>
      </c>
      <c r="O30" s="23">
        <v>113604.177</v>
      </c>
      <c r="P30" s="24">
        <v>9536365.3450000007</v>
      </c>
      <c r="Q30" s="24">
        <v>8204778.4560000002</v>
      </c>
      <c r="R30" s="24">
        <v>538504.76965165103</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B5BBC-D7B5-4373-9465-610ADE790DD9}">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77</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0.79724580644711662</v>
      </c>
      <c r="L9" s="48">
        <f t="shared" ref="L9:L30" si="1">1-K9</f>
        <v>0.20275419355288338</v>
      </c>
      <c r="M9" s="23">
        <v>106501.2</v>
      </c>
      <c r="N9" s="24">
        <v>384781.65549565898</v>
      </c>
      <c r="O9" s="24">
        <v>48680</v>
      </c>
      <c r="P9" s="24">
        <v>19742440.399999999</v>
      </c>
      <c r="Q9" s="24">
        <v>11318911.4</v>
      </c>
      <c r="R9" s="24">
        <v>2283115.3202230101</v>
      </c>
    </row>
    <row r="10" spans="1:18" ht="15" x14ac:dyDescent="0.25">
      <c r="A10" s="20">
        <v>2002</v>
      </c>
      <c r="B10" s="21">
        <f t="shared" ref="B10:B27" si="2">B11*EXP(-C11/100)</f>
        <v>0.58405665408489182</v>
      </c>
      <c r="C10" s="25">
        <f t="shared" ref="C10:C30" si="3">D10-E10-F10</f>
        <v>14.797524060264646</v>
      </c>
      <c r="D10" s="25">
        <f t="shared" ref="D10:D30" si="4">(LN(N10)-LN(N9))*100</f>
        <v>4.9321601865669251</v>
      </c>
      <c r="E10" s="25">
        <f t="shared" ref="E10:F30" si="5">I10*G10</f>
        <v>-7.2135971641791761</v>
      </c>
      <c r="F10" s="47">
        <f t="shared" si="5"/>
        <v>-2.6517667095185442</v>
      </c>
      <c r="G10" s="25">
        <f t="shared" ref="G10:G30" si="6">(LN(P10)-LN(P9))*100</f>
        <v>-9.930280619477827</v>
      </c>
      <c r="H10" s="25">
        <f t="shared" ref="H10:H30" si="7">(LN(R10)-LN(R9))*100</f>
        <v>-9.6929907352837574</v>
      </c>
      <c r="I10" s="26">
        <f t="shared" ref="I10:J30" si="8">(K10+K9)/2</f>
        <v>0.72642430164863714</v>
      </c>
      <c r="J10" s="26">
        <f t="shared" si="8"/>
        <v>0.27357569835136286</v>
      </c>
      <c r="K10" s="22">
        <f t="shared" si="0"/>
        <v>0.65560279685015765</v>
      </c>
      <c r="L10" s="48">
        <f t="shared" si="1"/>
        <v>0.34439720314984235</v>
      </c>
      <c r="M10" s="23">
        <v>137534.20000000001</v>
      </c>
      <c r="N10" s="24">
        <v>404235.50718391401</v>
      </c>
      <c r="O10" s="24">
        <v>60171.7</v>
      </c>
      <c r="P10" s="24">
        <v>17876157.600000001</v>
      </c>
      <c r="Q10" s="24">
        <v>11929299.800000001</v>
      </c>
      <c r="R10" s="24">
        <v>2072200.2624749099</v>
      </c>
    </row>
    <row r="11" spans="1:18" ht="15" x14ac:dyDescent="0.25">
      <c r="A11" s="20">
        <v>2003</v>
      </c>
      <c r="B11" s="21">
        <f t="shared" si="2"/>
        <v>0.62070703123592186</v>
      </c>
      <c r="C11" s="25">
        <f t="shared" si="3"/>
        <v>6.0861212726610656</v>
      </c>
      <c r="D11" s="25">
        <f t="shared" si="4"/>
        <v>2.2534810462401467</v>
      </c>
      <c r="E11" s="25">
        <f t="shared" si="5"/>
        <v>-1.0960355380190276</v>
      </c>
      <c r="F11" s="47">
        <f t="shared" si="5"/>
        <v>-2.7366046884018917</v>
      </c>
      <c r="G11" s="25">
        <f t="shared" si="6"/>
        <v>-1.673090418199763</v>
      </c>
      <c r="H11" s="25">
        <f t="shared" si="7"/>
        <v>-7.9344049237253245</v>
      </c>
      <c r="I11" s="26">
        <f t="shared" si="8"/>
        <v>0.65509641684419928</v>
      </c>
      <c r="J11" s="26">
        <f t="shared" si="8"/>
        <v>0.34490358315580066</v>
      </c>
      <c r="K11" s="22">
        <f t="shared" si="0"/>
        <v>0.65459003683824102</v>
      </c>
      <c r="L11" s="48">
        <f t="shared" si="1"/>
        <v>0.34540996316175898</v>
      </c>
      <c r="M11" s="23">
        <v>171229.7</v>
      </c>
      <c r="N11" s="24">
        <v>413448.29203609203</v>
      </c>
      <c r="O11" s="24">
        <v>73675.899999999994</v>
      </c>
      <c r="P11" s="24">
        <v>17579561.399999999</v>
      </c>
      <c r="Q11" s="24">
        <v>11555400.4</v>
      </c>
      <c r="R11" s="24">
        <v>1914137.10326095</v>
      </c>
    </row>
    <row r="12" spans="1:18" ht="15" x14ac:dyDescent="0.25">
      <c r="A12" s="20">
        <v>2004</v>
      </c>
      <c r="B12" s="21">
        <f t="shared" si="2"/>
        <v>0.71817914594633803</v>
      </c>
      <c r="C12" s="25">
        <f t="shared" si="3"/>
        <v>14.585984354664038</v>
      </c>
      <c r="D12" s="25">
        <f t="shared" si="4"/>
        <v>10.083314902778717</v>
      </c>
      <c r="E12" s="25">
        <f t="shared" si="5"/>
        <v>-0.87841532389564458</v>
      </c>
      <c r="F12" s="47">
        <f t="shared" si="5"/>
        <v>-3.6242541279896754</v>
      </c>
      <c r="G12" s="25">
        <f t="shared" si="6"/>
        <v>-1.4127086536650069</v>
      </c>
      <c r="H12" s="25">
        <f t="shared" si="7"/>
        <v>-9.5827795041017794</v>
      </c>
      <c r="I12" s="26">
        <f t="shared" si="8"/>
        <v>0.62179510376521108</v>
      </c>
      <c r="J12" s="26">
        <f t="shared" si="8"/>
        <v>0.37820489623478892</v>
      </c>
      <c r="K12" s="22">
        <f t="shared" si="0"/>
        <v>0.58900017069218114</v>
      </c>
      <c r="L12" s="48">
        <f t="shared" si="1"/>
        <v>0.41099982930781886</v>
      </c>
      <c r="M12" s="23">
        <v>219488.8</v>
      </c>
      <c r="N12" s="24">
        <v>457311.87875897298</v>
      </c>
      <c r="O12" s="24">
        <v>91041.1</v>
      </c>
      <c r="P12" s="24">
        <v>17332959.399999999</v>
      </c>
      <c r="Q12" s="24">
        <v>12206254.800000001</v>
      </c>
      <c r="R12" s="24">
        <v>1739224.1573727699</v>
      </c>
    </row>
    <row r="13" spans="1:18" ht="15" x14ac:dyDescent="0.25">
      <c r="A13" s="20">
        <v>2005</v>
      </c>
      <c r="B13" s="21">
        <f t="shared" si="2"/>
        <v>0.74004490353933006</v>
      </c>
      <c r="C13" s="25">
        <f t="shared" si="3"/>
        <v>2.9991820000177913</v>
      </c>
      <c r="D13" s="25">
        <f t="shared" si="4"/>
        <v>3.9392086371860202</v>
      </c>
      <c r="E13" s="25">
        <f t="shared" si="5"/>
        <v>-0.50602622870335257</v>
      </c>
      <c r="F13" s="47">
        <f t="shared" si="5"/>
        <v>1.4460528658715812</v>
      </c>
      <c r="G13" s="25">
        <f t="shared" si="6"/>
        <v>-0.81892550095545857</v>
      </c>
      <c r="H13" s="25">
        <f t="shared" si="7"/>
        <v>3.7846350970028197</v>
      </c>
      <c r="I13" s="26">
        <f t="shared" si="8"/>
        <v>0.6179148507562171</v>
      </c>
      <c r="J13" s="26">
        <f t="shared" si="8"/>
        <v>0.3820851492437829</v>
      </c>
      <c r="K13" s="22">
        <f t="shared" si="0"/>
        <v>0.64682953082025307</v>
      </c>
      <c r="L13" s="48">
        <f t="shared" si="1"/>
        <v>0.35317046917974693</v>
      </c>
      <c r="M13" s="23">
        <v>254390.8</v>
      </c>
      <c r="N13" s="24">
        <v>475685.86674258998</v>
      </c>
      <c r="O13" s="24">
        <v>112995.2</v>
      </c>
      <c r="P13" s="24">
        <v>17191595</v>
      </c>
      <c r="Q13" s="24">
        <v>11805514.699999999</v>
      </c>
      <c r="R13" s="24">
        <v>1806308.8943076599</v>
      </c>
    </row>
    <row r="14" spans="1:18" ht="15" x14ac:dyDescent="0.25">
      <c r="A14" s="20">
        <v>2006</v>
      </c>
      <c r="B14" s="21">
        <f t="shared" si="2"/>
        <v>0.79633866285810895</v>
      </c>
      <c r="C14" s="25">
        <f t="shared" si="3"/>
        <v>7.3313686399815436</v>
      </c>
      <c r="D14" s="25">
        <f t="shared" si="4"/>
        <v>8.1532134981904036</v>
      </c>
      <c r="E14" s="25">
        <f t="shared" si="5"/>
        <v>-6.7190141441334034E-2</v>
      </c>
      <c r="F14" s="47">
        <f t="shared" si="5"/>
        <v>0.88903499965019361</v>
      </c>
      <c r="G14" s="25">
        <f t="shared" si="6"/>
        <v>-0.10614885912438865</v>
      </c>
      <c r="H14" s="25">
        <f t="shared" si="7"/>
        <v>2.4223089605325043</v>
      </c>
      <c r="I14" s="26">
        <f t="shared" si="8"/>
        <v>0.63298034473077536</v>
      </c>
      <c r="J14" s="26">
        <f t="shared" si="8"/>
        <v>0.36701965526922464</v>
      </c>
      <c r="K14" s="22">
        <f t="shared" si="0"/>
        <v>0.61913115864129764</v>
      </c>
      <c r="L14" s="48">
        <f t="shared" si="1"/>
        <v>0.38086884135870236</v>
      </c>
      <c r="M14" s="23">
        <v>305239</v>
      </c>
      <c r="N14" s="24">
        <v>516094.46866687702</v>
      </c>
      <c r="O14" s="24">
        <v>132490.79999999999</v>
      </c>
      <c r="P14" s="24">
        <v>17173356</v>
      </c>
      <c r="Q14" s="24">
        <v>12039770.6</v>
      </c>
      <c r="R14" s="24">
        <v>1850597.51458045</v>
      </c>
    </row>
    <row r="15" spans="1:18" ht="15" x14ac:dyDescent="0.25">
      <c r="A15" s="20">
        <v>2007</v>
      </c>
      <c r="B15" s="21">
        <f t="shared" si="2"/>
        <v>0.82326522018818038</v>
      </c>
      <c r="C15" s="25">
        <f t="shared" si="3"/>
        <v>3.3253857799740061</v>
      </c>
      <c r="D15" s="25">
        <f t="shared" si="4"/>
        <v>6.784313863689384</v>
      </c>
      <c r="E15" s="25">
        <f t="shared" si="5"/>
        <v>0.95315465440101299</v>
      </c>
      <c r="F15" s="47">
        <f t="shared" si="5"/>
        <v>2.505773429314365</v>
      </c>
      <c r="G15" s="25">
        <f t="shared" si="6"/>
        <v>1.6444273374784046</v>
      </c>
      <c r="H15" s="25">
        <f t="shared" si="7"/>
        <v>5.9608348913018361</v>
      </c>
      <c r="I15" s="26">
        <f t="shared" si="8"/>
        <v>0.57962710341619472</v>
      </c>
      <c r="J15" s="26">
        <f t="shared" si="8"/>
        <v>0.42037289658380528</v>
      </c>
      <c r="K15" s="22">
        <f t="shared" si="0"/>
        <v>0.5401230481910918</v>
      </c>
      <c r="L15" s="48">
        <f t="shared" si="1"/>
        <v>0.4598769518089082</v>
      </c>
      <c r="M15" s="23">
        <v>379419.2</v>
      </c>
      <c r="N15" s="24">
        <v>552322.97022938298</v>
      </c>
      <c r="O15" s="24">
        <v>144419</v>
      </c>
      <c r="P15" s="24">
        <v>17458094.100000001</v>
      </c>
      <c r="Q15" s="24">
        <v>12302946.9</v>
      </c>
      <c r="R15" s="24">
        <v>1964262.6176688501</v>
      </c>
    </row>
    <row r="16" spans="1:18" ht="15" x14ac:dyDescent="0.25">
      <c r="A16" s="20">
        <v>2008</v>
      </c>
      <c r="B16" s="21">
        <f t="shared" si="2"/>
        <v>0.89795340587199191</v>
      </c>
      <c r="C16" s="25">
        <f t="shared" si="3"/>
        <v>8.6839771383903184</v>
      </c>
      <c r="D16" s="25">
        <f t="shared" si="4"/>
        <v>9.0681110426315215</v>
      </c>
      <c r="E16" s="25">
        <f t="shared" si="5"/>
        <v>-0.90167148124795704</v>
      </c>
      <c r="F16" s="47">
        <f t="shared" si="5"/>
        <v>1.2858053854891611</v>
      </c>
      <c r="G16" s="25">
        <f t="shared" si="6"/>
        <v>-1.6272393963838283</v>
      </c>
      <c r="H16" s="25">
        <f t="shared" si="7"/>
        <v>2.8836903282288162</v>
      </c>
      <c r="I16" s="26">
        <f t="shared" si="8"/>
        <v>0.55411114262088179</v>
      </c>
      <c r="J16" s="26">
        <f t="shared" si="8"/>
        <v>0.44588885737911821</v>
      </c>
      <c r="K16" s="22">
        <f t="shared" si="0"/>
        <v>0.56809923705067178</v>
      </c>
      <c r="L16" s="48">
        <f t="shared" si="1"/>
        <v>0.43190076294932822</v>
      </c>
      <c r="M16" s="23">
        <v>484248.8</v>
      </c>
      <c r="N16" s="24">
        <v>604749.35116983706</v>
      </c>
      <c r="O16" s="24">
        <v>195725.6</v>
      </c>
      <c r="P16" s="24">
        <v>17176308</v>
      </c>
      <c r="Q16" s="24">
        <v>12220379.5</v>
      </c>
      <c r="R16" s="24">
        <v>2021730.48413933</v>
      </c>
    </row>
    <row r="17" spans="1:20" ht="15" x14ac:dyDescent="0.25">
      <c r="A17" s="20">
        <v>2009</v>
      </c>
      <c r="B17" s="21">
        <f t="shared" si="2"/>
        <v>0.87192638158402624</v>
      </c>
      <c r="C17" s="25">
        <f t="shared" si="3"/>
        <v>-2.9413184843197886</v>
      </c>
      <c r="D17" s="25">
        <f t="shared" si="4"/>
        <v>-4.5433868797234211</v>
      </c>
      <c r="E17" s="25">
        <f t="shared" si="5"/>
        <v>-2.6394841705042529</v>
      </c>
      <c r="F17" s="47">
        <f t="shared" si="5"/>
        <v>1.0374157751006206</v>
      </c>
      <c r="G17" s="25">
        <f t="shared" si="6"/>
        <v>-4.8048909413250129</v>
      </c>
      <c r="H17" s="25">
        <f t="shared" si="7"/>
        <v>2.3019553311359076</v>
      </c>
      <c r="I17" s="26">
        <f t="shared" si="8"/>
        <v>0.54933279500749288</v>
      </c>
      <c r="J17" s="26">
        <f t="shared" si="8"/>
        <v>0.45066720499250706</v>
      </c>
      <c r="K17" s="22">
        <f t="shared" si="0"/>
        <v>0.53056635296431409</v>
      </c>
      <c r="L17" s="48">
        <f t="shared" si="1"/>
        <v>0.46943364703568591</v>
      </c>
      <c r="M17" s="23">
        <v>482718.7</v>
      </c>
      <c r="N17" s="24">
        <v>577888.07485528302</v>
      </c>
      <c r="O17" s="24">
        <v>181625</v>
      </c>
      <c r="P17" s="24">
        <v>16370518.800000001</v>
      </c>
      <c r="Q17" s="24">
        <v>11609252.1</v>
      </c>
      <c r="R17" s="24">
        <v>2068809.6080853001</v>
      </c>
    </row>
    <row r="18" spans="1:20" ht="15" x14ac:dyDescent="0.25">
      <c r="A18" s="20">
        <v>2010</v>
      </c>
      <c r="B18" s="21">
        <f t="shared" si="2"/>
        <v>0.83312555443469072</v>
      </c>
      <c r="C18" s="25">
        <f t="shared" si="3"/>
        <v>-4.552063913529337</v>
      </c>
      <c r="D18" s="25">
        <f t="shared" si="4"/>
        <v>-5.3181513168949479</v>
      </c>
      <c r="E18" s="25">
        <f t="shared" si="5"/>
        <v>-1.0253234607765414</v>
      </c>
      <c r="F18" s="47">
        <f t="shared" si="5"/>
        <v>0.25923605741093064</v>
      </c>
      <c r="G18" s="25">
        <f t="shared" si="6"/>
        <v>-1.9149098019525468</v>
      </c>
      <c r="H18" s="25">
        <f t="shared" si="7"/>
        <v>0.55802752850215853</v>
      </c>
      <c r="I18" s="26">
        <f t="shared" si="8"/>
        <v>0.53544217055605725</v>
      </c>
      <c r="J18" s="26">
        <f t="shared" si="8"/>
        <v>0.46455782944394275</v>
      </c>
      <c r="K18" s="22">
        <f t="shared" si="0"/>
        <v>0.54031798814780041</v>
      </c>
      <c r="L18" s="48">
        <f t="shared" si="1"/>
        <v>0.45968201185219959</v>
      </c>
      <c r="M18" s="23">
        <v>483596.6</v>
      </c>
      <c r="N18" s="24">
        <v>547958.02901898499</v>
      </c>
      <c r="O18" s="24">
        <v>180978.4</v>
      </c>
      <c r="P18" s="24">
        <v>16060020.5</v>
      </c>
      <c r="Q18" s="24">
        <v>11123467.1</v>
      </c>
      <c r="R18" s="24">
        <v>2080386.4060291699</v>
      </c>
    </row>
    <row r="19" spans="1:20" ht="15" x14ac:dyDescent="0.25">
      <c r="A19" s="20">
        <v>2011</v>
      </c>
      <c r="B19" s="21">
        <f t="shared" si="2"/>
        <v>0.84805093483141836</v>
      </c>
      <c r="C19" s="25">
        <f t="shared" si="3"/>
        <v>1.775634222703264</v>
      </c>
      <c r="D19" s="25">
        <f t="shared" si="4"/>
        <v>4.1997958242003364</v>
      </c>
      <c r="E19" s="25">
        <f t="shared" si="5"/>
        <v>-0.9747750868041658</v>
      </c>
      <c r="F19" s="47">
        <f t="shared" si="5"/>
        <v>3.3989366883012382</v>
      </c>
      <c r="G19" s="25">
        <f t="shared" si="6"/>
        <v>-1.8809215188259287</v>
      </c>
      <c r="H19" s="25">
        <f t="shared" si="7"/>
        <v>7.0552980536364274</v>
      </c>
      <c r="I19" s="26">
        <f t="shared" si="8"/>
        <v>0.51824335946383371</v>
      </c>
      <c r="J19" s="26">
        <f t="shared" si="8"/>
        <v>0.48175664053616629</v>
      </c>
      <c r="K19" s="22">
        <f t="shared" si="0"/>
        <v>0.49616873077986695</v>
      </c>
      <c r="L19" s="48">
        <f t="shared" si="1"/>
        <v>0.50383126922013299</v>
      </c>
      <c r="M19" s="23">
        <v>519675.5</v>
      </c>
      <c r="N19" s="24">
        <v>571461.23626430996</v>
      </c>
      <c r="O19" s="24">
        <v>184607.3</v>
      </c>
      <c r="P19" s="24">
        <v>15760767.300000001</v>
      </c>
      <c r="Q19" s="24">
        <v>11284039.4</v>
      </c>
      <c r="R19" s="24">
        <v>2232465.6093993401</v>
      </c>
    </row>
    <row r="20" spans="1:20" ht="15" x14ac:dyDescent="0.25">
      <c r="A20" s="20">
        <v>2012</v>
      </c>
      <c r="B20" s="21">
        <f t="shared" si="2"/>
        <v>0.87853392000831998</v>
      </c>
      <c r="C20" s="25">
        <f t="shared" si="3"/>
        <v>3.5313819512650104</v>
      </c>
      <c r="D20" s="25">
        <f t="shared" si="4"/>
        <v>1.9816569093375591</v>
      </c>
      <c r="E20" s="25">
        <f t="shared" si="5"/>
        <v>-0.31225404215208274</v>
      </c>
      <c r="F20" s="47">
        <f t="shared" si="5"/>
        <v>-1.2374709997753681</v>
      </c>
      <c r="G20" s="25">
        <f t="shared" si="6"/>
        <v>-0.63290636869837158</v>
      </c>
      <c r="H20" s="25">
        <f t="shared" si="7"/>
        <v>-2.4425310905215269</v>
      </c>
      <c r="I20" s="26">
        <f t="shared" si="8"/>
        <v>0.49336530266595524</v>
      </c>
      <c r="J20" s="26">
        <f t="shared" si="8"/>
        <v>0.50663469733404476</v>
      </c>
      <c r="K20" s="22">
        <f t="shared" si="0"/>
        <v>0.49056187455204348</v>
      </c>
      <c r="L20" s="48">
        <f t="shared" si="1"/>
        <v>0.50943812544795652</v>
      </c>
      <c r="M20" s="23">
        <v>549171.4</v>
      </c>
      <c r="N20" s="24">
        <v>582898.58758684003</v>
      </c>
      <c r="O20" s="24">
        <v>192908.5</v>
      </c>
      <c r="P20" s="24">
        <v>15661331.4</v>
      </c>
      <c r="Q20" s="24">
        <v>11214459.300000001</v>
      </c>
      <c r="R20" s="24">
        <v>2178597.4936399399</v>
      </c>
    </row>
    <row r="21" spans="1:20" ht="15" x14ac:dyDescent="0.25">
      <c r="A21" s="20">
        <v>2013</v>
      </c>
      <c r="B21" s="21">
        <f t="shared" si="2"/>
        <v>0.88597692987674892</v>
      </c>
      <c r="C21" s="25">
        <f t="shared" si="3"/>
        <v>0.84363935918103605</v>
      </c>
      <c r="D21" s="25">
        <f t="shared" si="4"/>
        <v>0.40341084798054538</v>
      </c>
      <c r="E21" s="25">
        <f t="shared" si="5"/>
        <v>-0.57786924255438321</v>
      </c>
      <c r="F21" s="47">
        <f t="shared" si="5"/>
        <v>0.1376407313538926</v>
      </c>
      <c r="G21" s="25">
        <f t="shared" si="6"/>
        <v>-1.1629559006973267</v>
      </c>
      <c r="H21" s="25">
        <f t="shared" si="7"/>
        <v>0.27358357685400847</v>
      </c>
      <c r="I21" s="26">
        <f t="shared" si="8"/>
        <v>0.49689695216119867</v>
      </c>
      <c r="J21" s="26">
        <f t="shared" si="8"/>
        <v>0.50310304783880133</v>
      </c>
      <c r="K21" s="22">
        <f t="shared" si="0"/>
        <v>0.50323202977035386</v>
      </c>
      <c r="L21" s="48">
        <f t="shared" si="1"/>
        <v>0.49676797022964614</v>
      </c>
      <c r="M21" s="23">
        <v>556693.30000000005</v>
      </c>
      <c r="N21" s="24">
        <v>585254.813161236</v>
      </c>
      <c r="O21" s="24">
        <v>201898.1</v>
      </c>
      <c r="P21" s="24">
        <v>15480252</v>
      </c>
      <c r="Q21" s="24">
        <v>11156449.1</v>
      </c>
      <c r="R21" s="24">
        <v>2184565.93920901</v>
      </c>
    </row>
    <row r="22" spans="1:20" ht="15" x14ac:dyDescent="0.25">
      <c r="A22" s="20">
        <v>2014</v>
      </c>
      <c r="B22" s="21">
        <f t="shared" si="2"/>
        <v>0.90459396707088047</v>
      </c>
      <c r="C22" s="25">
        <f t="shared" si="3"/>
        <v>2.0795276101538129</v>
      </c>
      <c r="D22" s="25">
        <f t="shared" si="4"/>
        <v>4.0825186660295998</v>
      </c>
      <c r="E22" s="25">
        <f t="shared" si="5"/>
        <v>-7.9839399737549194E-3</v>
      </c>
      <c r="F22" s="47">
        <f t="shared" si="5"/>
        <v>2.010974995849542</v>
      </c>
      <c r="G22" s="25">
        <f t="shared" si="6"/>
        <v>-1.5775535285200704E-2</v>
      </c>
      <c r="H22" s="25">
        <f t="shared" si="7"/>
        <v>4.0715932664108223</v>
      </c>
      <c r="I22" s="26">
        <f t="shared" si="8"/>
        <v>0.50609629590476013</v>
      </c>
      <c r="J22" s="26">
        <f t="shared" si="8"/>
        <v>0.49390370409523987</v>
      </c>
      <c r="K22" s="22">
        <f t="shared" si="0"/>
        <v>0.5089605620391664</v>
      </c>
      <c r="L22" s="48">
        <f t="shared" si="1"/>
        <v>0.4910394379608336</v>
      </c>
      <c r="M22" s="23">
        <v>591543.6</v>
      </c>
      <c r="N22" s="24">
        <v>609642.376437022</v>
      </c>
      <c r="O22" s="24">
        <v>217994.3</v>
      </c>
      <c r="P22" s="24">
        <v>15477810.1</v>
      </c>
      <c r="Q22" s="24">
        <v>11206855.199999999</v>
      </c>
      <c r="R22" s="24">
        <v>2275348.1795597998</v>
      </c>
    </row>
    <row r="23" spans="1:20" ht="15" x14ac:dyDescent="0.25">
      <c r="A23" s="20">
        <v>2015</v>
      </c>
      <c r="B23" s="21">
        <f t="shared" si="2"/>
        <v>0.91268559226273205</v>
      </c>
      <c r="C23" s="25">
        <f t="shared" si="3"/>
        <v>0.89052657032449822</v>
      </c>
      <c r="D23" s="25">
        <f t="shared" si="4"/>
        <v>2.6365068078325393</v>
      </c>
      <c r="E23" s="25">
        <f t="shared" si="5"/>
        <v>-0.81946918551852999</v>
      </c>
      <c r="F23" s="47">
        <f t="shared" si="5"/>
        <v>2.5654494230265712</v>
      </c>
      <c r="G23" s="25">
        <f t="shared" si="6"/>
        <v>-1.6527975644738291</v>
      </c>
      <c r="H23" s="25">
        <f t="shared" si="7"/>
        <v>5.0882325206238477</v>
      </c>
      <c r="I23" s="26">
        <f t="shared" si="8"/>
        <v>0.49580735301930906</v>
      </c>
      <c r="J23" s="26">
        <f t="shared" si="8"/>
        <v>0.50419264698069099</v>
      </c>
      <c r="K23" s="22">
        <f t="shared" si="0"/>
        <v>0.48265414399945172</v>
      </c>
      <c r="L23" s="48">
        <f t="shared" si="1"/>
        <v>0.51734585600054828</v>
      </c>
      <c r="M23" s="23">
        <v>625929.4</v>
      </c>
      <c r="N23" s="24">
        <v>625929.4</v>
      </c>
      <c r="O23" s="24">
        <v>228538.2</v>
      </c>
      <c r="P23" s="24">
        <v>15224095.699999999</v>
      </c>
      <c r="Q23" s="24">
        <v>11516722.9</v>
      </c>
      <c r="R23" s="24">
        <v>2394119.235477</v>
      </c>
    </row>
    <row r="24" spans="1:20" ht="15" x14ac:dyDescent="0.25">
      <c r="A24" s="20">
        <v>2016</v>
      </c>
      <c r="B24" s="21">
        <f t="shared" si="2"/>
        <v>0.91011512111269055</v>
      </c>
      <c r="C24" s="25">
        <f t="shared" si="3"/>
        <v>-0.28203553301905337</v>
      </c>
      <c r="D24" s="25">
        <f t="shared" si="4"/>
        <v>2.7760016123927755</v>
      </c>
      <c r="E24" s="25">
        <f t="shared" si="5"/>
        <v>8.2887022306340874E-2</v>
      </c>
      <c r="F24" s="47">
        <f t="shared" si="5"/>
        <v>2.9751501231054882</v>
      </c>
      <c r="G24" s="25">
        <f t="shared" si="6"/>
        <v>0.16598304041757217</v>
      </c>
      <c r="H24" s="25">
        <f t="shared" si="7"/>
        <v>5.9428174099839026</v>
      </c>
      <c r="I24" s="26">
        <f t="shared" si="8"/>
        <v>0.49937043024285904</v>
      </c>
      <c r="J24" s="26">
        <f t="shared" si="8"/>
        <v>0.50062956975714101</v>
      </c>
      <c r="K24" s="22">
        <f t="shared" si="0"/>
        <v>0.51608671648626636</v>
      </c>
      <c r="L24" s="48">
        <f t="shared" si="1"/>
        <v>0.48391328351373364</v>
      </c>
      <c r="M24" s="23">
        <v>673373.2</v>
      </c>
      <c r="N24" s="24">
        <v>643548.63388369896</v>
      </c>
      <c r="O24" s="24">
        <v>268934.5</v>
      </c>
      <c r="P24" s="24">
        <v>15249386.1</v>
      </c>
      <c r="Q24" s="24">
        <v>11801042.4</v>
      </c>
      <c r="R24" s="24">
        <v>2540710.0417439998</v>
      </c>
    </row>
    <row r="25" spans="1:20" ht="15" x14ac:dyDescent="0.25">
      <c r="A25" s="20">
        <v>2017</v>
      </c>
      <c r="B25" s="21">
        <f t="shared" si="2"/>
        <v>0.96748719760616164</v>
      </c>
      <c r="C25" s="25">
        <f t="shared" si="3"/>
        <v>6.1131094141137368</v>
      </c>
      <c r="D25" s="25">
        <f t="shared" si="4"/>
        <v>8.0697788845261798</v>
      </c>
      <c r="E25" s="25">
        <f t="shared" si="5"/>
        <v>0.55987631364685464</v>
      </c>
      <c r="F25" s="47">
        <f t="shared" si="5"/>
        <v>1.3967931567655889</v>
      </c>
      <c r="G25" s="25">
        <f t="shared" si="6"/>
        <v>1.0708952914917802</v>
      </c>
      <c r="H25" s="25">
        <f t="shared" si="7"/>
        <v>2.9271304582001889</v>
      </c>
      <c r="I25" s="26">
        <f t="shared" si="8"/>
        <v>0.52281144393392087</v>
      </c>
      <c r="J25" s="26">
        <f t="shared" si="8"/>
        <v>0.47718855606607918</v>
      </c>
      <c r="K25" s="22">
        <f t="shared" si="0"/>
        <v>0.52953617138157527</v>
      </c>
      <c r="L25" s="48">
        <f t="shared" si="1"/>
        <v>0.47046382861842473</v>
      </c>
      <c r="M25" s="23">
        <v>770408.7</v>
      </c>
      <c r="N25" s="24">
        <v>697634.544306317</v>
      </c>
      <c r="O25" s="24">
        <v>317703.09999999998</v>
      </c>
      <c r="P25" s="24">
        <v>15413568.6</v>
      </c>
      <c r="Q25" s="24">
        <v>12003498.5</v>
      </c>
      <c r="R25" s="24">
        <v>2616179.08950077</v>
      </c>
    </row>
    <row r="26" spans="1:20" ht="15" x14ac:dyDescent="0.25">
      <c r="A26" s="20">
        <v>2018</v>
      </c>
      <c r="B26" s="21">
        <f t="shared" si="2"/>
        <v>1.008892322442247</v>
      </c>
      <c r="C26" s="25">
        <f t="shared" si="3"/>
        <v>4.1906105187139566</v>
      </c>
      <c r="D26" s="25">
        <f t="shared" si="4"/>
        <v>5.5860616823286691</v>
      </c>
      <c r="E26" s="25">
        <f t="shared" si="5"/>
        <v>8.1806272603996893E-2</v>
      </c>
      <c r="F26" s="47">
        <f t="shared" si="5"/>
        <v>1.3136448910107159</v>
      </c>
      <c r="G26" s="25">
        <f t="shared" si="6"/>
        <v>0.15440108918518547</v>
      </c>
      <c r="H26" s="25">
        <f t="shared" si="7"/>
        <v>2.7939763681029461</v>
      </c>
      <c r="I26" s="26">
        <f t="shared" si="8"/>
        <v>0.52982963420601359</v>
      </c>
      <c r="J26" s="26">
        <f t="shared" si="8"/>
        <v>0.47017036579398647</v>
      </c>
      <c r="K26" s="22">
        <f t="shared" si="0"/>
        <v>0.5301230970304518</v>
      </c>
      <c r="L26" s="48">
        <f t="shared" si="1"/>
        <v>0.4698769029695482</v>
      </c>
      <c r="M26" s="23">
        <v>868082.2</v>
      </c>
      <c r="N26" s="24">
        <v>737713.846087271</v>
      </c>
      <c r="O26" s="24">
        <v>364571.9</v>
      </c>
      <c r="P26" s="24">
        <v>15437385.699999999</v>
      </c>
      <c r="Q26" s="24">
        <v>12229800.4</v>
      </c>
      <c r="R26" s="24">
        <v>2690305.2263515498</v>
      </c>
    </row>
    <row r="27" spans="1:20" ht="15" x14ac:dyDescent="0.25">
      <c r="A27" s="20">
        <f>A26+1</f>
        <v>2019</v>
      </c>
      <c r="B27" s="21">
        <f t="shared" si="2"/>
        <v>1.0255213526600364</v>
      </c>
      <c r="C27" s="25">
        <f t="shared" si="3"/>
        <v>1.6348101447071586</v>
      </c>
      <c r="D27" s="25">
        <f t="shared" si="4"/>
        <v>3.7326698829589944</v>
      </c>
      <c r="E27" s="25">
        <f t="shared" si="5"/>
        <v>0.54244533255792993</v>
      </c>
      <c r="F27" s="47">
        <f t="shared" si="5"/>
        <v>1.5554144056939059</v>
      </c>
      <c r="G27" s="25">
        <f t="shared" si="6"/>
        <v>1.0223498304178236</v>
      </c>
      <c r="H27" s="25">
        <f t="shared" si="7"/>
        <v>3.3135293813288058</v>
      </c>
      <c r="I27" s="26">
        <f t="shared" si="8"/>
        <v>0.53058680739081088</v>
      </c>
      <c r="J27" s="26">
        <f t="shared" si="8"/>
        <v>0.46941319260918907</v>
      </c>
      <c r="K27" s="22">
        <f t="shared" si="0"/>
        <v>0.53105051775117007</v>
      </c>
      <c r="L27" s="48">
        <f t="shared" si="1"/>
        <v>0.46894948224882993</v>
      </c>
      <c r="M27" s="23">
        <v>965752.2</v>
      </c>
      <c r="N27" s="24">
        <v>765770.64497216803</v>
      </c>
      <c r="O27" s="24">
        <v>410717.7</v>
      </c>
      <c r="P27" s="24">
        <v>15596019.300000001</v>
      </c>
      <c r="Q27" s="24">
        <v>12489804.5</v>
      </c>
      <c r="R27" s="24">
        <v>2780942.6363025298</v>
      </c>
    </row>
    <row r="28" spans="1:20" ht="15" x14ac:dyDescent="0.25">
      <c r="A28" s="20">
        <f t="shared" ref="A28:A30" si="9">A27+1</f>
        <v>2020</v>
      </c>
      <c r="B28" s="21">
        <v>1</v>
      </c>
      <c r="C28" s="25">
        <f t="shared" si="3"/>
        <v>-2.5201120020049697</v>
      </c>
      <c r="D28" s="25">
        <f t="shared" si="4"/>
        <v>-3.5734964611940256</v>
      </c>
      <c r="E28" s="25">
        <f t="shared" si="5"/>
        <v>-2.5211909779742987</v>
      </c>
      <c r="F28" s="47">
        <f t="shared" si="5"/>
        <v>1.4678065187852427</v>
      </c>
      <c r="G28" s="25">
        <f t="shared" si="6"/>
        <v>-4.703785474964306</v>
      </c>
      <c r="H28" s="25">
        <f t="shared" si="7"/>
        <v>3.1633209891445802</v>
      </c>
      <c r="I28" s="26">
        <f t="shared" si="8"/>
        <v>0.53599191361792076</v>
      </c>
      <c r="J28" s="26">
        <f t="shared" si="8"/>
        <v>0.46400808638207924</v>
      </c>
      <c r="K28" s="22">
        <f t="shared" si="0"/>
        <v>0.54093330948467144</v>
      </c>
      <c r="L28" s="48">
        <f t="shared" si="1"/>
        <v>0.45906669051532856</v>
      </c>
      <c r="M28" s="23">
        <v>969777.4</v>
      </c>
      <c r="N28" s="24">
        <v>738889.02549744002</v>
      </c>
      <c r="O28" s="24">
        <v>420720.7</v>
      </c>
      <c r="P28" s="24">
        <v>14879402.199999999</v>
      </c>
      <c r="Q28" s="24">
        <v>11933383</v>
      </c>
      <c r="R28" s="24">
        <v>2870318.95552768</v>
      </c>
    </row>
    <row r="29" spans="1:20" ht="15" x14ac:dyDescent="0.25">
      <c r="A29" s="20">
        <f t="shared" si="9"/>
        <v>2021</v>
      </c>
      <c r="B29" s="21">
        <f>B28*EXP(C29/100)</f>
        <v>1.0061549108922174</v>
      </c>
      <c r="C29" s="25">
        <f t="shared" si="3"/>
        <v>0.61360467931659413</v>
      </c>
      <c r="D29" s="25">
        <f t="shared" si="4"/>
        <v>5.0257200595703821</v>
      </c>
      <c r="E29" s="25">
        <f t="shared" si="5"/>
        <v>2.397548135940494</v>
      </c>
      <c r="F29" s="47">
        <f t="shared" si="5"/>
        <v>2.014567244313294</v>
      </c>
      <c r="G29" s="25">
        <f t="shared" si="6"/>
        <v>4.5067842837809735</v>
      </c>
      <c r="H29" s="25">
        <f t="shared" si="7"/>
        <v>4.30450616190452</v>
      </c>
      <c r="I29" s="26">
        <f t="shared" si="8"/>
        <v>0.53198644198898004</v>
      </c>
      <c r="J29" s="26">
        <f t="shared" si="8"/>
        <v>0.46801355801101996</v>
      </c>
      <c r="K29" s="22">
        <f t="shared" si="0"/>
        <v>0.52303957449328864</v>
      </c>
      <c r="L29" s="48">
        <f t="shared" si="1"/>
        <v>0.47696042550671136</v>
      </c>
      <c r="M29" s="23">
        <v>1077778.3</v>
      </c>
      <c r="N29" s="24">
        <v>776972.48802467505</v>
      </c>
      <c r="O29" s="24">
        <v>449335.8</v>
      </c>
      <c r="P29" s="24">
        <v>15565325.199999999</v>
      </c>
      <c r="Q29" s="24">
        <v>12406955.800000001</v>
      </c>
      <c r="R29" s="24">
        <v>2996569.7552258298</v>
      </c>
    </row>
    <row r="30" spans="1:20" ht="15" x14ac:dyDescent="0.25">
      <c r="A30" s="20">
        <f t="shared" si="9"/>
        <v>2022</v>
      </c>
      <c r="B30" s="27">
        <f t="shared" ref="B30" si="10">B29*EXP(C30/100)</f>
        <v>1.0230540025116628</v>
      </c>
      <c r="C30" s="28">
        <f t="shared" si="3"/>
        <v>1.6656227162012882</v>
      </c>
      <c r="D30" s="25">
        <f t="shared" si="4"/>
        <v>3.0756408396657164</v>
      </c>
      <c r="E30" s="28">
        <f t="shared" si="5"/>
        <v>-0.21592426376581234</v>
      </c>
      <c r="F30" s="51">
        <f t="shared" si="5"/>
        <v>1.6259423872302408</v>
      </c>
      <c r="G30" s="25">
        <f t="shared" si="6"/>
        <v>-0.41887116328638285</v>
      </c>
      <c r="H30" s="25">
        <f t="shared" si="7"/>
        <v>3.3558550575774504</v>
      </c>
      <c r="I30" s="26">
        <f t="shared" si="8"/>
        <v>0.51549087808220539</v>
      </c>
      <c r="J30" s="26">
        <f t="shared" si="8"/>
        <v>0.48450912191779466</v>
      </c>
      <c r="K30" s="22">
        <f t="shared" si="0"/>
        <v>0.50794218167112204</v>
      </c>
      <c r="L30" s="48">
        <f t="shared" si="1"/>
        <v>0.49205781832887796</v>
      </c>
      <c r="M30" s="23">
        <v>1275643.2</v>
      </c>
      <c r="N30" s="23">
        <v>801240.65904581</v>
      </c>
      <c r="O30" s="23">
        <v>518625</v>
      </c>
      <c r="P30" s="24">
        <v>15500262.9</v>
      </c>
      <c r="Q30" s="24">
        <v>12406492.4</v>
      </c>
      <c r="R30" s="24">
        <v>3098836.6600929699</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5E87-F963-43C5-8D18-75F60E789567}">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78</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0.75370236221009856</v>
      </c>
      <c r="L9" s="48">
        <f t="shared" ref="L9:L30" si="1">1-K9</f>
        <v>0.24629763778990144</v>
      </c>
      <c r="M9" s="23">
        <v>18345.659308999999</v>
      </c>
      <c r="N9" s="24">
        <v>25032.764224025701</v>
      </c>
      <c r="O9" s="24">
        <v>10614.198624000001</v>
      </c>
      <c r="P9" s="24">
        <v>1560136.0930000001</v>
      </c>
      <c r="Q9" s="24">
        <v>1197612.9790000001</v>
      </c>
      <c r="R9" s="24">
        <v>102607.000167933</v>
      </c>
    </row>
    <row r="10" spans="1:18" ht="15" x14ac:dyDescent="0.25">
      <c r="A10" s="20">
        <v>2002</v>
      </c>
      <c r="B10" s="21">
        <f t="shared" ref="B10:B27" si="2">B11*EXP(-C11/100)</f>
        <v>0.72131447220312217</v>
      </c>
      <c r="C10" s="25">
        <f t="shared" ref="C10:C30" si="3">D10-E10-F10</f>
        <v>0.71783369010994991</v>
      </c>
      <c r="D10" s="25">
        <f t="shared" ref="D10:D30" si="4">(LN(N10)-LN(N9))*100</f>
        <v>3.5526301473002064</v>
      </c>
      <c r="E10" s="25">
        <f t="shared" ref="E10:F30" si="5">I10*G10</f>
        <v>2.0858133744069809</v>
      </c>
      <c r="F10" s="47">
        <f t="shared" si="5"/>
        <v>0.74898308278327563</v>
      </c>
      <c r="G10" s="25">
        <f t="shared" ref="G10:G30" si="6">(LN(P10)-LN(P9))*100</f>
        <v>2.7915741891101575</v>
      </c>
      <c r="H10" s="25">
        <f t="shared" ref="H10:H30" si="7">(LN(R10)-LN(R9))*100</f>
        <v>2.9625360297982795</v>
      </c>
      <c r="I10" s="26">
        <f t="shared" ref="I10:J30" si="8">(K10+K9)/2</f>
        <v>0.7471817809978587</v>
      </c>
      <c r="J10" s="26">
        <f t="shared" si="8"/>
        <v>0.2528182190021413</v>
      </c>
      <c r="K10" s="22">
        <f t="shared" si="0"/>
        <v>0.74066119978561884</v>
      </c>
      <c r="L10" s="48">
        <f t="shared" si="1"/>
        <v>0.25933880021438116</v>
      </c>
      <c r="M10" s="23">
        <v>20290.083234999998</v>
      </c>
      <c r="N10" s="24">
        <v>25938.0716497461</v>
      </c>
      <c r="O10" s="24">
        <v>11654.644598999999</v>
      </c>
      <c r="P10" s="24">
        <v>1604302.044</v>
      </c>
      <c r="Q10" s="24">
        <v>1244175.7960000001</v>
      </c>
      <c r="R10" s="24">
        <v>105692.24460925101</v>
      </c>
    </row>
    <row r="11" spans="1:18" ht="15" x14ac:dyDescent="0.25">
      <c r="A11" s="20">
        <v>2003</v>
      </c>
      <c r="B11" s="21">
        <f t="shared" si="2"/>
        <v>0.73849240649584291</v>
      </c>
      <c r="C11" s="25">
        <f t="shared" si="3"/>
        <v>2.3535616220202464</v>
      </c>
      <c r="D11" s="25">
        <f t="shared" si="4"/>
        <v>3.3334080857922999</v>
      </c>
      <c r="E11" s="25">
        <f t="shared" si="5"/>
        <v>-0.13192872849792736</v>
      </c>
      <c r="F11" s="47">
        <f t="shared" si="5"/>
        <v>1.1117751922699806</v>
      </c>
      <c r="G11" s="25">
        <f t="shared" si="6"/>
        <v>-0.18015409687102135</v>
      </c>
      <c r="H11" s="25">
        <f t="shared" si="7"/>
        <v>4.1532260394044229</v>
      </c>
      <c r="I11" s="26">
        <f t="shared" si="8"/>
        <v>0.73231045415736384</v>
      </c>
      <c r="J11" s="26">
        <f t="shared" si="8"/>
        <v>0.26768954584263616</v>
      </c>
      <c r="K11" s="22">
        <f t="shared" si="0"/>
        <v>0.72395970852910885</v>
      </c>
      <c r="L11" s="48">
        <f t="shared" si="1"/>
        <v>0.27604029147089115</v>
      </c>
      <c r="M11" s="23">
        <v>22182.135278000002</v>
      </c>
      <c r="N11" s="24">
        <v>26817.265579195398</v>
      </c>
      <c r="O11" s="24">
        <v>12599.706647999999</v>
      </c>
      <c r="P11" s="24">
        <v>1601414.43</v>
      </c>
      <c r="Q11" s="24">
        <v>1256453.514</v>
      </c>
      <c r="R11" s="24">
        <v>110174.313405958</v>
      </c>
    </row>
    <row r="12" spans="1:18" ht="15" x14ac:dyDescent="0.25">
      <c r="A12" s="20">
        <v>2004</v>
      </c>
      <c r="B12" s="21">
        <f t="shared" si="2"/>
        <v>0.76135882933866006</v>
      </c>
      <c r="C12" s="25">
        <f t="shared" si="3"/>
        <v>3.0493950586622129</v>
      </c>
      <c r="D12" s="25">
        <f t="shared" si="4"/>
        <v>4.4572111103729384</v>
      </c>
      <c r="E12" s="25">
        <f t="shared" si="5"/>
        <v>0.94484761816541918</v>
      </c>
      <c r="F12" s="47">
        <f t="shared" si="5"/>
        <v>0.46296843354530637</v>
      </c>
      <c r="G12" s="25">
        <f t="shared" si="6"/>
        <v>1.3115755883728042</v>
      </c>
      <c r="H12" s="25">
        <f t="shared" si="7"/>
        <v>1.6557725206556739</v>
      </c>
      <c r="I12" s="26">
        <f t="shared" si="8"/>
        <v>0.72039128094602378</v>
      </c>
      <c r="J12" s="26">
        <f t="shared" si="8"/>
        <v>0.27960871905397622</v>
      </c>
      <c r="K12" s="22">
        <f t="shared" si="0"/>
        <v>0.71682285336293872</v>
      </c>
      <c r="L12" s="48">
        <f t="shared" si="1"/>
        <v>0.28317714663706128</v>
      </c>
      <c r="M12" s="23">
        <v>24033.565966999999</v>
      </c>
      <c r="N12" s="24">
        <v>28039.606518887598</v>
      </c>
      <c r="O12" s="24">
        <v>13648.270628</v>
      </c>
      <c r="P12" s="24">
        <v>1622556.5349999999</v>
      </c>
      <c r="Q12" s="24">
        <v>1285426.9669999999</v>
      </c>
      <c r="R12" s="24">
        <v>112013.73571249</v>
      </c>
    </row>
    <row r="13" spans="1:18" ht="15" x14ac:dyDescent="0.25">
      <c r="A13" s="20">
        <v>2005</v>
      </c>
      <c r="B13" s="21">
        <f t="shared" si="2"/>
        <v>0.80078899899455358</v>
      </c>
      <c r="C13" s="25">
        <f t="shared" si="3"/>
        <v>5.0492720216842857</v>
      </c>
      <c r="D13" s="25">
        <f t="shared" si="4"/>
        <v>3.623117280915622</v>
      </c>
      <c r="E13" s="25">
        <f t="shared" si="5"/>
        <v>-2.0177828132827171</v>
      </c>
      <c r="F13" s="47">
        <f t="shared" si="5"/>
        <v>0.59162807251405369</v>
      </c>
      <c r="G13" s="25">
        <f t="shared" si="6"/>
        <v>-2.8146545590168159</v>
      </c>
      <c r="H13" s="25">
        <f t="shared" si="7"/>
        <v>2.0897072338911471</v>
      </c>
      <c r="I13" s="26">
        <f t="shared" si="8"/>
        <v>0.71688470857594222</v>
      </c>
      <c r="J13" s="26">
        <f t="shared" si="8"/>
        <v>0.28311529142405772</v>
      </c>
      <c r="K13" s="22">
        <f t="shared" si="0"/>
        <v>0.71694656378894583</v>
      </c>
      <c r="L13" s="48">
        <f t="shared" si="1"/>
        <v>0.28305343621105417</v>
      </c>
      <c r="M13" s="23">
        <v>25371.752345000001</v>
      </c>
      <c r="N13" s="24">
        <v>29074.142405469702</v>
      </c>
      <c r="O13" s="24">
        <v>14446.604294000001</v>
      </c>
      <c r="P13" s="24">
        <v>1577523.9029999999</v>
      </c>
      <c r="Q13" s="24">
        <v>1252865.57</v>
      </c>
      <c r="R13" s="24">
        <v>114379.123614329</v>
      </c>
    </row>
    <row r="14" spans="1:18" ht="15" x14ac:dyDescent="0.25">
      <c r="A14" s="20">
        <v>2006</v>
      </c>
      <c r="B14" s="21">
        <f t="shared" si="2"/>
        <v>0.84193730110478393</v>
      </c>
      <c r="C14" s="25">
        <f t="shared" si="3"/>
        <v>5.0108056836265771</v>
      </c>
      <c r="D14" s="25">
        <f t="shared" si="4"/>
        <v>5.9712141547498376</v>
      </c>
      <c r="E14" s="25">
        <f t="shared" si="5"/>
        <v>-0.12301148470618994</v>
      </c>
      <c r="F14" s="47">
        <f t="shared" si="5"/>
        <v>1.0834199558294499</v>
      </c>
      <c r="G14" s="25">
        <f t="shared" si="6"/>
        <v>-0.17289052390996318</v>
      </c>
      <c r="H14" s="25">
        <f t="shared" si="7"/>
        <v>3.7553458680834595</v>
      </c>
      <c r="I14" s="26">
        <f t="shared" si="8"/>
        <v>0.71149928824468756</v>
      </c>
      <c r="J14" s="26">
        <f t="shared" si="8"/>
        <v>0.2885007117553125</v>
      </c>
      <c r="K14" s="22">
        <f t="shared" si="0"/>
        <v>0.70605201270042917</v>
      </c>
      <c r="L14" s="48">
        <f t="shared" si="1"/>
        <v>0.29394798729957083</v>
      </c>
      <c r="M14" s="23">
        <v>27484.663133999999</v>
      </c>
      <c r="N14" s="24">
        <v>30863.101482140501</v>
      </c>
      <c r="O14" s="24">
        <v>15474.757422000001</v>
      </c>
      <c r="P14" s="24">
        <v>1574798.87</v>
      </c>
      <c r="Q14" s="24">
        <v>1255803.909</v>
      </c>
      <c r="R14" s="24">
        <v>118756.126728288</v>
      </c>
    </row>
    <row r="15" spans="1:18" ht="15" x14ac:dyDescent="0.25">
      <c r="A15" s="20">
        <v>2007</v>
      </c>
      <c r="B15" s="21">
        <f t="shared" si="2"/>
        <v>0.87611630432222798</v>
      </c>
      <c r="C15" s="25">
        <f t="shared" si="3"/>
        <v>3.9793302391068632</v>
      </c>
      <c r="D15" s="25">
        <f t="shared" si="4"/>
        <v>7.0877311449944358</v>
      </c>
      <c r="E15" s="25">
        <f t="shared" si="5"/>
        <v>1.7810590939521682</v>
      </c>
      <c r="F15" s="47">
        <f t="shared" si="5"/>
        <v>1.3273418119354046</v>
      </c>
      <c r="G15" s="25">
        <f t="shared" si="6"/>
        <v>2.5431151146744213</v>
      </c>
      <c r="H15" s="25">
        <f t="shared" si="7"/>
        <v>4.4295733285762751</v>
      </c>
      <c r="I15" s="26">
        <f t="shared" si="8"/>
        <v>0.70034544786234965</v>
      </c>
      <c r="J15" s="26">
        <f t="shared" si="8"/>
        <v>0.2996545521376503</v>
      </c>
      <c r="K15" s="22">
        <f t="shared" si="0"/>
        <v>0.69463888302427024</v>
      </c>
      <c r="L15" s="48">
        <f t="shared" si="1"/>
        <v>0.30536111697572976</v>
      </c>
      <c r="M15" s="23">
        <v>30604.359519000001</v>
      </c>
      <c r="N15" s="24">
        <v>33129.981404559599</v>
      </c>
      <c r="O15" s="24">
        <v>17004.814027</v>
      </c>
      <c r="P15" s="24">
        <v>1615361.4080000001</v>
      </c>
      <c r="Q15" s="24">
        <v>1292109.159</v>
      </c>
      <c r="R15" s="24">
        <v>124134.76231933</v>
      </c>
    </row>
    <row r="16" spans="1:18" ht="15" x14ac:dyDescent="0.25">
      <c r="A16" s="20">
        <v>2008</v>
      </c>
      <c r="B16" s="21">
        <f t="shared" si="2"/>
        <v>0.87404042596296228</v>
      </c>
      <c r="C16" s="25">
        <f t="shared" si="3"/>
        <v>-0.23722210666425791</v>
      </c>
      <c r="D16" s="25">
        <f t="shared" si="4"/>
        <v>2.9664772932859407</v>
      </c>
      <c r="E16" s="25">
        <f t="shared" si="5"/>
        <v>2.5175288972503371</v>
      </c>
      <c r="F16" s="47">
        <f t="shared" si="5"/>
        <v>0.68617050269986146</v>
      </c>
      <c r="G16" s="25">
        <f t="shared" si="6"/>
        <v>3.5863440234180644</v>
      </c>
      <c r="H16" s="25">
        <f t="shared" si="7"/>
        <v>2.3024033073211214</v>
      </c>
      <c r="I16" s="26">
        <f t="shared" si="8"/>
        <v>0.70197640851279419</v>
      </c>
      <c r="J16" s="26">
        <f t="shared" si="8"/>
        <v>0.29802359148720581</v>
      </c>
      <c r="K16" s="22">
        <f t="shared" si="0"/>
        <v>0.70931393400131815</v>
      </c>
      <c r="L16" s="48">
        <f t="shared" si="1"/>
        <v>0.29068606599868185</v>
      </c>
      <c r="M16" s="23">
        <v>33037.705032999998</v>
      </c>
      <c r="N16" s="24">
        <v>34127.497169548798</v>
      </c>
      <c r="O16" s="24">
        <v>18726.458718000002</v>
      </c>
      <c r="P16" s="24">
        <v>1674345.1839999999</v>
      </c>
      <c r="Q16" s="24">
        <v>1337988.227</v>
      </c>
      <c r="R16" s="24">
        <v>127026.00146452599</v>
      </c>
    </row>
    <row r="17" spans="1:20" ht="15" x14ac:dyDescent="0.25">
      <c r="A17" s="20">
        <v>2009</v>
      </c>
      <c r="B17" s="21">
        <f t="shared" si="2"/>
        <v>0.814368052641537</v>
      </c>
      <c r="C17" s="25">
        <f t="shared" si="3"/>
        <v>-7.0714211613652047</v>
      </c>
      <c r="D17" s="25">
        <f t="shared" si="4"/>
        <v>-7.3653052947932451</v>
      </c>
      <c r="E17" s="25">
        <f t="shared" si="5"/>
        <v>-0.96315606811108234</v>
      </c>
      <c r="F17" s="47">
        <f t="shared" si="5"/>
        <v>0.66927193468304191</v>
      </c>
      <c r="G17" s="25">
        <f t="shared" si="6"/>
        <v>-1.3224380035431693</v>
      </c>
      <c r="H17" s="25">
        <f t="shared" si="7"/>
        <v>2.4634432011319873</v>
      </c>
      <c r="I17" s="26">
        <f t="shared" si="8"/>
        <v>0.72831850380171059</v>
      </c>
      <c r="J17" s="26">
        <f t="shared" si="8"/>
        <v>0.27168149619828941</v>
      </c>
      <c r="K17" s="22">
        <f t="shared" si="0"/>
        <v>0.74732307360210304</v>
      </c>
      <c r="L17" s="48">
        <f t="shared" si="1"/>
        <v>0.25267692639789696</v>
      </c>
      <c r="M17" s="23">
        <v>31274.364302000002</v>
      </c>
      <c r="N17" s="24">
        <v>31704.2383871204</v>
      </c>
      <c r="O17" s="24">
        <v>18580.584555000001</v>
      </c>
      <c r="P17" s="24">
        <v>1652348.7720000001</v>
      </c>
      <c r="Q17" s="24">
        <v>1313603.246</v>
      </c>
      <c r="R17" s="24">
        <v>130194.076514022</v>
      </c>
    </row>
    <row r="18" spans="1:20" ht="15" x14ac:dyDescent="0.25">
      <c r="A18" s="20">
        <v>2010</v>
      </c>
      <c r="B18" s="21">
        <f t="shared" si="2"/>
        <v>0.83725243037968911</v>
      </c>
      <c r="C18" s="25">
        <f t="shared" si="3"/>
        <v>2.7713197548108091</v>
      </c>
      <c r="D18" s="25">
        <f t="shared" si="4"/>
        <v>1.1688881715343769</v>
      </c>
      <c r="E18" s="25">
        <f t="shared" si="5"/>
        <v>-1.5365970136907106</v>
      </c>
      <c r="F18" s="47">
        <f t="shared" si="5"/>
        <v>-6.5834569585721953E-2</v>
      </c>
      <c r="G18" s="25">
        <f t="shared" si="6"/>
        <v>-2.0485749934106678</v>
      </c>
      <c r="H18" s="25">
        <f t="shared" si="7"/>
        <v>-0.26342354221764452</v>
      </c>
      <c r="I18" s="26">
        <f t="shared" si="8"/>
        <v>0.75008091899649409</v>
      </c>
      <c r="J18" s="26">
        <f t="shared" si="8"/>
        <v>0.24991908100350591</v>
      </c>
      <c r="K18" s="22">
        <f t="shared" si="0"/>
        <v>0.75283876439088515</v>
      </c>
      <c r="L18" s="48">
        <f t="shared" si="1"/>
        <v>0.24716123560911485</v>
      </c>
      <c r="M18" s="23">
        <v>31296.874846999999</v>
      </c>
      <c r="N18" s="24">
        <v>32076.999817447599</v>
      </c>
      <c r="O18" s="24">
        <v>18815.714115999999</v>
      </c>
      <c r="P18" s="24">
        <v>1618843.53</v>
      </c>
      <c r="Q18" s="24">
        <v>1292774.0719999999</v>
      </c>
      <c r="R18" s="24">
        <v>129851.56599064999</v>
      </c>
    </row>
    <row r="19" spans="1:20" ht="15" x14ac:dyDescent="0.25">
      <c r="A19" s="20">
        <v>2011</v>
      </c>
      <c r="B19" s="21">
        <f t="shared" si="2"/>
        <v>0.85613896400048672</v>
      </c>
      <c r="C19" s="25">
        <f t="shared" si="3"/>
        <v>2.2307089605402641</v>
      </c>
      <c r="D19" s="25">
        <f t="shared" si="4"/>
        <v>0.32481073410348671</v>
      </c>
      <c r="E19" s="25">
        <f t="shared" si="5"/>
        <v>-2.0157124758021103</v>
      </c>
      <c r="F19" s="47">
        <f t="shared" si="5"/>
        <v>0.10981424936533313</v>
      </c>
      <c r="G19" s="25">
        <f t="shared" si="6"/>
        <v>-2.7077954850687647</v>
      </c>
      <c r="H19" s="25">
        <f t="shared" si="7"/>
        <v>0.42965153694893843</v>
      </c>
      <c r="I19" s="26">
        <f t="shared" si="8"/>
        <v>0.74441090064485471</v>
      </c>
      <c r="J19" s="26">
        <f t="shared" si="8"/>
        <v>0.25558909935514534</v>
      </c>
      <c r="K19" s="22">
        <f t="shared" si="0"/>
        <v>0.73598303689882416</v>
      </c>
      <c r="L19" s="48">
        <f t="shared" si="1"/>
        <v>0.26401696310117584</v>
      </c>
      <c r="M19" s="23">
        <v>31911.217216000001</v>
      </c>
      <c r="N19" s="24">
        <v>32181.358748787901</v>
      </c>
      <c r="O19" s="24">
        <v>18709.083074999999</v>
      </c>
      <c r="P19" s="24">
        <v>1575596.7180000001</v>
      </c>
      <c r="Q19" s="24">
        <v>1255123.3119999999</v>
      </c>
      <c r="R19" s="24">
        <v>130410.675490863</v>
      </c>
    </row>
    <row r="20" spans="1:20" ht="15" x14ac:dyDescent="0.25">
      <c r="A20" s="20">
        <v>2012</v>
      </c>
      <c r="B20" s="21">
        <f t="shared" si="2"/>
        <v>0.84618392129045072</v>
      </c>
      <c r="C20" s="25">
        <f t="shared" si="3"/>
        <v>-1.1695967057330956</v>
      </c>
      <c r="D20" s="25">
        <f t="shared" si="4"/>
        <v>-2.5971271371155069</v>
      </c>
      <c r="E20" s="25">
        <f t="shared" si="5"/>
        <v>-1.5268695347793118</v>
      </c>
      <c r="F20" s="47">
        <f t="shared" si="5"/>
        <v>9.9339103396900524E-2</v>
      </c>
      <c r="G20" s="25">
        <f t="shared" si="6"/>
        <v>-2.0661584440221148</v>
      </c>
      <c r="H20" s="25">
        <f t="shared" si="7"/>
        <v>0.38059437861104328</v>
      </c>
      <c r="I20" s="26">
        <f t="shared" si="8"/>
        <v>0.7389895674249507</v>
      </c>
      <c r="J20" s="26">
        <f t="shared" si="8"/>
        <v>0.26101043257504936</v>
      </c>
      <c r="K20" s="22">
        <f t="shared" si="0"/>
        <v>0.74199609795107713</v>
      </c>
      <c r="L20" s="48">
        <f t="shared" si="1"/>
        <v>0.25800390204892287</v>
      </c>
      <c r="M20" s="23">
        <v>31113.775825000001</v>
      </c>
      <c r="N20" s="24">
        <v>31356.327871597299</v>
      </c>
      <c r="O20" s="24">
        <v>18275.54264</v>
      </c>
      <c r="P20" s="24">
        <v>1543376.4010000001</v>
      </c>
      <c r="Q20" s="24">
        <v>1221765.3289999999</v>
      </c>
      <c r="R20" s="24">
        <v>130907.956903172</v>
      </c>
    </row>
    <row r="21" spans="1:20" ht="15" x14ac:dyDescent="0.25">
      <c r="A21" s="20">
        <v>2013</v>
      </c>
      <c r="B21" s="21">
        <f t="shared" si="2"/>
        <v>0.84347422943550776</v>
      </c>
      <c r="C21" s="25">
        <f t="shared" si="3"/>
        <v>-0.32073874549560749</v>
      </c>
      <c r="D21" s="25">
        <f t="shared" si="4"/>
        <v>-0.46552275949878208</v>
      </c>
      <c r="E21" s="25">
        <f t="shared" si="5"/>
        <v>-3.5627309166206385E-2</v>
      </c>
      <c r="F21" s="47">
        <f t="shared" si="5"/>
        <v>-0.10915670483696822</v>
      </c>
      <c r="G21" s="25">
        <f t="shared" si="6"/>
        <v>-4.8086805755254147E-2</v>
      </c>
      <c r="H21" s="25">
        <f t="shared" si="7"/>
        <v>-0.42128485889172396</v>
      </c>
      <c r="I21" s="26">
        <f t="shared" si="8"/>
        <v>0.74089573234574035</v>
      </c>
      <c r="J21" s="26">
        <f t="shared" si="8"/>
        <v>0.25910426765425959</v>
      </c>
      <c r="K21" s="22">
        <f t="shared" si="0"/>
        <v>0.73979536674040369</v>
      </c>
      <c r="L21" s="48">
        <f t="shared" si="1"/>
        <v>0.26020463325959631</v>
      </c>
      <c r="M21" s="23">
        <v>30975.267692000001</v>
      </c>
      <c r="N21" s="24">
        <v>31210.696265946801</v>
      </c>
      <c r="O21" s="24">
        <v>17861.718950999999</v>
      </c>
      <c r="P21" s="24">
        <v>1542634.419</v>
      </c>
      <c r="Q21" s="24">
        <v>1202429.419</v>
      </c>
      <c r="R21" s="24">
        <v>130357.621555351</v>
      </c>
    </row>
    <row r="22" spans="1:20" ht="15" x14ac:dyDescent="0.25">
      <c r="A22" s="20">
        <v>2014</v>
      </c>
      <c r="B22" s="21">
        <f t="shared" si="2"/>
        <v>0.8636047027825875</v>
      </c>
      <c r="C22" s="25">
        <f t="shared" si="3"/>
        <v>2.3585794606693371</v>
      </c>
      <c r="D22" s="25">
        <f t="shared" si="4"/>
        <v>3.4220539411137452</v>
      </c>
      <c r="E22" s="25">
        <f t="shared" si="5"/>
        <v>1.1622842585518225</v>
      </c>
      <c r="F22" s="47">
        <f t="shared" si="5"/>
        <v>-9.8809778107414398E-2</v>
      </c>
      <c r="G22" s="25">
        <f t="shared" si="6"/>
        <v>1.58270047300757</v>
      </c>
      <c r="H22" s="25">
        <f t="shared" si="7"/>
        <v>-0.3719796648443463</v>
      </c>
      <c r="I22" s="26">
        <f t="shared" si="8"/>
        <v>0.73436779629133486</v>
      </c>
      <c r="J22" s="26">
        <f t="shared" si="8"/>
        <v>0.26563220370866519</v>
      </c>
      <c r="K22" s="22">
        <f t="shared" si="0"/>
        <v>0.72894022584226592</v>
      </c>
      <c r="L22" s="48">
        <f t="shared" si="1"/>
        <v>0.27105977415773408</v>
      </c>
      <c r="M22" s="23">
        <v>32050.293941</v>
      </c>
      <c r="N22" s="24">
        <v>32297.227948275799</v>
      </c>
      <c r="O22" s="24">
        <v>18197.515235999999</v>
      </c>
      <c r="P22" s="24">
        <v>1567243.9350000001</v>
      </c>
      <c r="Q22" s="24">
        <v>1220744.442</v>
      </c>
      <c r="R22" s="24">
        <v>129873.61846621599</v>
      </c>
    </row>
    <row r="23" spans="1:20" ht="15" x14ac:dyDescent="0.25">
      <c r="A23" s="20">
        <v>2015</v>
      </c>
      <c r="B23" s="21">
        <f t="shared" si="2"/>
        <v>0.87446549222416547</v>
      </c>
      <c r="C23" s="25">
        <f t="shared" si="3"/>
        <v>1.2497689491099846</v>
      </c>
      <c r="D23" s="25">
        <f t="shared" si="4"/>
        <v>2.3296130325128672</v>
      </c>
      <c r="E23" s="25">
        <f t="shared" si="5"/>
        <v>1.1842261991054877</v>
      </c>
      <c r="F23" s="47">
        <f t="shared" si="5"/>
        <v>-0.10438211570260511</v>
      </c>
      <c r="G23" s="25">
        <f t="shared" si="6"/>
        <v>1.6299338035496547</v>
      </c>
      <c r="H23" s="25">
        <f t="shared" si="7"/>
        <v>-0.38172096947253209</v>
      </c>
      <c r="I23" s="26">
        <f t="shared" si="8"/>
        <v>0.72654864665453944</v>
      </c>
      <c r="J23" s="26">
        <f t="shared" si="8"/>
        <v>0.2734513533454605</v>
      </c>
      <c r="K23" s="22">
        <f t="shared" si="0"/>
        <v>0.72415706746681308</v>
      </c>
      <c r="L23" s="48">
        <f t="shared" si="1"/>
        <v>0.27584293253318692</v>
      </c>
      <c r="M23" s="23">
        <v>33058.460843000001</v>
      </c>
      <c r="N23" s="24">
        <v>33058.460843000001</v>
      </c>
      <c r="O23" s="24">
        <v>18712.557543999999</v>
      </c>
      <c r="P23" s="24">
        <v>1592998.2930000001</v>
      </c>
      <c r="Q23" s="24">
        <v>1245182.6370000001</v>
      </c>
      <c r="R23" s="24">
        <v>129378.808628</v>
      </c>
    </row>
    <row r="24" spans="1:20" ht="15" x14ac:dyDescent="0.25">
      <c r="A24" s="20">
        <v>2016</v>
      </c>
      <c r="B24" s="21">
        <f t="shared" si="2"/>
        <v>0.90708738056246874</v>
      </c>
      <c r="C24" s="25">
        <f t="shared" si="3"/>
        <v>3.6625952002477398</v>
      </c>
      <c r="D24" s="25">
        <f t="shared" si="4"/>
        <v>3.1082889734641128</v>
      </c>
      <c r="E24" s="25">
        <f t="shared" si="5"/>
        <v>-0.18625261743764901</v>
      </c>
      <c r="F24" s="47">
        <f t="shared" si="5"/>
        <v>-0.36805360934597792</v>
      </c>
      <c r="G24" s="25">
        <f t="shared" si="6"/>
        <v>-0.25549002489739792</v>
      </c>
      <c r="H24" s="25">
        <f t="shared" si="7"/>
        <v>-1.3581390358968548</v>
      </c>
      <c r="I24" s="26">
        <f t="shared" si="8"/>
        <v>0.72900152368941251</v>
      </c>
      <c r="J24" s="26">
        <f t="shared" si="8"/>
        <v>0.27099847631058749</v>
      </c>
      <c r="K24" s="22">
        <f t="shared" si="0"/>
        <v>0.73384597991201195</v>
      </c>
      <c r="L24" s="48">
        <f t="shared" si="1"/>
        <v>0.26615402008798805</v>
      </c>
      <c r="M24" s="23">
        <v>34438.490273000003</v>
      </c>
      <c r="N24" s="24">
        <v>34102.149741347799</v>
      </c>
      <c r="O24" s="24">
        <v>19740.669775999999</v>
      </c>
      <c r="P24" s="24">
        <v>1588933.5360000001</v>
      </c>
      <c r="Q24" s="24">
        <v>1241133.7660000001</v>
      </c>
      <c r="R24" s="24">
        <v>127633.54291800001</v>
      </c>
    </row>
    <row r="25" spans="1:20" ht="15" x14ac:dyDescent="0.25">
      <c r="A25" s="20">
        <v>2017</v>
      </c>
      <c r="B25" s="21">
        <f t="shared" si="2"/>
        <v>0.94938583634488871</v>
      </c>
      <c r="C25" s="25">
        <f t="shared" si="3"/>
        <v>4.5576501797164655</v>
      </c>
      <c r="D25" s="25">
        <f t="shared" si="4"/>
        <v>5.3313711492997129</v>
      </c>
      <c r="E25" s="25">
        <f t="shared" si="5"/>
        <v>0.71364898510690511</v>
      </c>
      <c r="F25" s="47">
        <f t="shared" si="5"/>
        <v>6.0071984476342051E-2</v>
      </c>
      <c r="G25" s="25">
        <f t="shared" si="6"/>
        <v>0.97673111309610761</v>
      </c>
      <c r="H25" s="25">
        <f t="shared" si="7"/>
        <v>0.22302608205251317</v>
      </c>
      <c r="I25" s="26">
        <f t="shared" si="8"/>
        <v>0.73065040678875559</v>
      </c>
      <c r="J25" s="26">
        <f t="shared" si="8"/>
        <v>0.26934959321124446</v>
      </c>
      <c r="K25" s="22">
        <f t="shared" si="0"/>
        <v>0.72745483366549912</v>
      </c>
      <c r="L25" s="48">
        <f t="shared" si="1"/>
        <v>0.27254516633450088</v>
      </c>
      <c r="M25" s="23">
        <v>36789.791195999998</v>
      </c>
      <c r="N25" s="24">
        <v>35969.599956694197</v>
      </c>
      <c r="O25" s="24">
        <v>21011.328364000001</v>
      </c>
      <c r="P25" s="24">
        <v>1604529.1839999999</v>
      </c>
      <c r="Q25" s="24">
        <v>1259701.8689999999</v>
      </c>
      <c r="R25" s="24">
        <v>127918.516672932</v>
      </c>
    </row>
    <row r="26" spans="1:20" ht="15" x14ac:dyDescent="0.25">
      <c r="A26" s="20">
        <v>2018</v>
      </c>
      <c r="B26" s="21">
        <f t="shared" si="2"/>
        <v>0.97596223278774452</v>
      </c>
      <c r="C26" s="25">
        <f t="shared" si="3"/>
        <v>2.7608602277129597</v>
      </c>
      <c r="D26" s="25">
        <f t="shared" si="4"/>
        <v>4.2986999493095368</v>
      </c>
      <c r="E26" s="25">
        <f t="shared" si="5"/>
        <v>1.4330211146940275</v>
      </c>
      <c r="F26" s="47">
        <f t="shared" si="5"/>
        <v>0.1048186069025496</v>
      </c>
      <c r="G26" s="25">
        <f t="shared" si="6"/>
        <v>1.9677954233568329</v>
      </c>
      <c r="H26" s="25">
        <f t="shared" si="7"/>
        <v>0.38569836210200492</v>
      </c>
      <c r="I26" s="26">
        <f t="shared" si="8"/>
        <v>0.72823683686054019</v>
      </c>
      <c r="J26" s="26">
        <f t="shared" si="8"/>
        <v>0.27176316313945981</v>
      </c>
      <c r="K26" s="22">
        <f t="shared" si="0"/>
        <v>0.72901884005558126</v>
      </c>
      <c r="L26" s="48">
        <f t="shared" si="1"/>
        <v>0.27098115994441874</v>
      </c>
      <c r="M26" s="23">
        <v>39355.388683999998</v>
      </c>
      <c r="N26" s="24">
        <v>37549.540291179001</v>
      </c>
      <c r="O26" s="24">
        <v>22584.358865999999</v>
      </c>
      <c r="P26" s="24">
        <v>1636415.7379999999</v>
      </c>
      <c r="Q26" s="24">
        <v>1288126.325</v>
      </c>
      <c r="R26" s="24">
        <v>128412.84899958799</v>
      </c>
    </row>
    <row r="27" spans="1:20" ht="15" x14ac:dyDescent="0.25">
      <c r="A27" s="20">
        <f>A26+1</f>
        <v>2019</v>
      </c>
      <c r="B27" s="21">
        <f t="shared" si="2"/>
        <v>0.9933203096640284</v>
      </c>
      <c r="C27" s="25">
        <f t="shared" si="3"/>
        <v>1.7629289918717979</v>
      </c>
      <c r="D27" s="25">
        <f t="shared" si="4"/>
        <v>3.583825545597108</v>
      </c>
      <c r="E27" s="25">
        <f t="shared" si="5"/>
        <v>1.6946104238970296</v>
      </c>
      <c r="F27" s="47">
        <f t="shared" si="5"/>
        <v>0.12628612982828041</v>
      </c>
      <c r="G27" s="25">
        <f t="shared" si="6"/>
        <v>2.3078673730843491</v>
      </c>
      <c r="H27" s="25">
        <f t="shared" si="7"/>
        <v>0.47525207678447146</v>
      </c>
      <c r="I27" s="26">
        <f t="shared" si="8"/>
        <v>0.73427548032462009</v>
      </c>
      <c r="J27" s="26">
        <f t="shared" si="8"/>
        <v>0.26572451967537986</v>
      </c>
      <c r="K27" s="22">
        <f t="shared" si="0"/>
        <v>0.73953212059365903</v>
      </c>
      <c r="L27" s="48">
        <f t="shared" si="1"/>
        <v>0.26046787940634097</v>
      </c>
      <c r="M27" s="23">
        <v>41821.075039000003</v>
      </c>
      <c r="N27" s="24">
        <v>38919.654924935799</v>
      </c>
      <c r="O27" s="24">
        <v>24391.654669</v>
      </c>
      <c r="P27" s="24">
        <v>1674621.213</v>
      </c>
      <c r="Q27" s="24">
        <v>1320704.3759999999</v>
      </c>
      <c r="R27" s="24">
        <v>129024.586226841</v>
      </c>
    </row>
    <row r="28" spans="1:20" ht="15" x14ac:dyDescent="0.25">
      <c r="A28" s="20">
        <f t="shared" ref="A28:A30" si="9">A27+1</f>
        <v>2020</v>
      </c>
      <c r="B28" s="21">
        <v>1</v>
      </c>
      <c r="C28" s="25">
        <f t="shared" si="3"/>
        <v>0.67020993132290108</v>
      </c>
      <c r="D28" s="25">
        <f t="shared" si="4"/>
        <v>-3.1065374269951818</v>
      </c>
      <c r="E28" s="25">
        <f t="shared" si="5"/>
        <v>-3.8342280764411441</v>
      </c>
      <c r="F28" s="47">
        <f t="shared" si="5"/>
        <v>5.7480718123061159E-2</v>
      </c>
      <c r="G28" s="25">
        <f t="shared" si="6"/>
        <v>-5.0739315542790209</v>
      </c>
      <c r="H28" s="25">
        <f t="shared" si="7"/>
        <v>0.2352604753161458</v>
      </c>
      <c r="I28" s="26">
        <f t="shared" si="8"/>
        <v>0.75567201398442352</v>
      </c>
      <c r="J28" s="26">
        <f t="shared" si="8"/>
        <v>0.24432798601557654</v>
      </c>
      <c r="K28" s="22">
        <f t="shared" si="0"/>
        <v>0.7718119073751879</v>
      </c>
      <c r="L28" s="48">
        <f t="shared" si="1"/>
        <v>0.2281880926248121</v>
      </c>
      <c r="M28" s="23">
        <v>41139.232069999998</v>
      </c>
      <c r="N28" s="24">
        <v>37729.188163516097</v>
      </c>
      <c r="O28" s="24">
        <v>25114.320747999998</v>
      </c>
      <c r="P28" s="24">
        <v>1591771.716</v>
      </c>
      <c r="Q28" s="24">
        <v>1259025.612</v>
      </c>
      <c r="R28" s="24">
        <v>129328.48742120199</v>
      </c>
    </row>
    <row r="29" spans="1:20" ht="15" x14ac:dyDescent="0.25">
      <c r="A29" s="20">
        <f t="shared" si="9"/>
        <v>2021</v>
      </c>
      <c r="B29" s="21">
        <f>B28*EXP(C29/100)</f>
        <v>1.0311244588379191</v>
      </c>
      <c r="C29" s="25">
        <f t="shared" si="3"/>
        <v>3.0649914371775626</v>
      </c>
      <c r="D29" s="25">
        <f t="shared" si="4"/>
        <v>7.3623520279211263</v>
      </c>
      <c r="E29" s="25">
        <f t="shared" si="5"/>
        <v>3.960859376373385</v>
      </c>
      <c r="F29" s="47">
        <f t="shared" si="5"/>
        <v>0.33650121437017866</v>
      </c>
      <c r="G29" s="25">
        <f t="shared" si="6"/>
        <v>5.1733337583817374</v>
      </c>
      <c r="H29" s="25">
        <f t="shared" si="7"/>
        <v>1.435768967880513</v>
      </c>
      <c r="I29" s="26">
        <f t="shared" si="8"/>
        <v>0.76562997118754916</v>
      </c>
      <c r="J29" s="26">
        <f t="shared" si="8"/>
        <v>0.23437002881245084</v>
      </c>
      <c r="K29" s="22">
        <f t="shared" si="0"/>
        <v>0.75944803499991043</v>
      </c>
      <c r="L29" s="48">
        <f t="shared" si="1"/>
        <v>0.24055196500008957</v>
      </c>
      <c r="M29" s="23">
        <v>45529.738421000002</v>
      </c>
      <c r="N29" s="24">
        <v>40611.754199984702</v>
      </c>
      <c r="O29" s="24">
        <v>27424.826602000001</v>
      </c>
      <c r="P29" s="24">
        <v>1676286.6510000001</v>
      </c>
      <c r="Q29" s="24">
        <v>1329532.503</v>
      </c>
      <c r="R29" s="24">
        <v>131198.73983388999</v>
      </c>
    </row>
    <row r="30" spans="1:20" ht="15" x14ac:dyDescent="0.25">
      <c r="A30" s="20">
        <f t="shared" si="9"/>
        <v>2022</v>
      </c>
      <c r="B30" s="27">
        <f t="shared" ref="B30" si="10">B29*EXP(C30/100)</f>
        <v>1.0255514230043374</v>
      </c>
      <c r="C30" s="28">
        <f t="shared" si="3"/>
        <v>-0.54194727745884652</v>
      </c>
      <c r="D30" s="25">
        <f t="shared" si="4"/>
        <v>2.6027189209020918</v>
      </c>
      <c r="E30" s="28">
        <f t="shared" si="5"/>
        <v>2.9522598169423175</v>
      </c>
      <c r="F30" s="51">
        <f t="shared" si="5"/>
        <v>0.19240638141862079</v>
      </c>
      <c r="G30" s="25">
        <f t="shared" si="6"/>
        <v>3.9021281555269738</v>
      </c>
      <c r="H30" s="25">
        <f t="shared" si="7"/>
        <v>0.79041939576107723</v>
      </c>
      <c r="I30" s="26">
        <f t="shared" si="8"/>
        <v>0.7565768471137313</v>
      </c>
      <c r="J30" s="26">
        <f t="shared" si="8"/>
        <v>0.24342315288626865</v>
      </c>
      <c r="K30" s="22">
        <f t="shared" si="0"/>
        <v>0.75370565922755228</v>
      </c>
      <c r="L30" s="48">
        <f t="shared" si="1"/>
        <v>0.24629434077244772</v>
      </c>
      <c r="M30" s="23">
        <v>49959.874704000002</v>
      </c>
      <c r="N30" s="23">
        <v>41682.639627377102</v>
      </c>
      <c r="O30" s="23">
        <v>29534.473492000001</v>
      </c>
      <c r="P30" s="24">
        <v>1742990.4750000001</v>
      </c>
      <c r="Q30" s="24">
        <v>1367102.666</v>
      </c>
      <c r="R30" s="24">
        <v>132239.86934484</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202E-50D6-4827-91C1-559B9764EB9E}">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79</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0.5165408024371293</v>
      </c>
      <c r="L9" s="48">
        <f t="shared" ref="L9:L30" si="1">1-K9</f>
        <v>0.4834591975628707</v>
      </c>
      <c r="M9" s="23">
        <v>30677.475999999999</v>
      </c>
      <c r="N9" s="24">
        <v>40562.927595524299</v>
      </c>
      <c r="O9" s="24">
        <v>13604.251</v>
      </c>
      <c r="P9" s="24">
        <v>3667216</v>
      </c>
      <c r="Q9" s="24">
        <v>3148378</v>
      </c>
      <c r="R9" s="24">
        <v>224936.05792520201</v>
      </c>
    </row>
    <row r="10" spans="1:18" ht="15" x14ac:dyDescent="0.25">
      <c r="A10" s="20">
        <v>2002</v>
      </c>
      <c r="B10" s="21">
        <f t="shared" ref="B10:B27" si="2">B11*EXP(-C11/100)</f>
        <v>0.6634973948675319</v>
      </c>
      <c r="C10" s="25">
        <f t="shared" ref="C10:C30" si="3">D10-E10-F10</f>
        <v>5.176854932332815</v>
      </c>
      <c r="D10" s="25">
        <f t="shared" ref="D10:D30" si="4">(LN(N10)-LN(N9))*100</f>
        <v>4.0108963838161316</v>
      </c>
      <c r="E10" s="25">
        <f t="shared" ref="E10:F30" si="5">I10*G10</f>
        <v>-1.3113208289183305</v>
      </c>
      <c r="F10" s="47">
        <f t="shared" si="5"/>
        <v>0.14536228040164684</v>
      </c>
      <c r="G10" s="25">
        <f t="shared" ref="G10:G30" si="6">(LN(P10)-LN(P9))*100</f>
        <v>-2.5321611617474815</v>
      </c>
      <c r="H10" s="25">
        <f t="shared" ref="H10:H30" si="7">(LN(R10)-LN(R9))*100</f>
        <v>0.30149783793849139</v>
      </c>
      <c r="I10" s="26">
        <f t="shared" ref="I10:J30" si="8">(K10+K9)/2</f>
        <v>0.5178662593550597</v>
      </c>
      <c r="J10" s="26">
        <f t="shared" si="8"/>
        <v>0.4821337406449403</v>
      </c>
      <c r="K10" s="22">
        <f t="shared" si="0"/>
        <v>0.5191917162729901</v>
      </c>
      <c r="L10" s="48">
        <f t="shared" si="1"/>
        <v>0.4808082837270099</v>
      </c>
      <c r="M10" s="23">
        <v>33327.927000000003</v>
      </c>
      <c r="N10" s="24">
        <v>42222.932596351697</v>
      </c>
      <c r="O10" s="24">
        <v>14739.111999999999</v>
      </c>
      <c r="P10" s="24">
        <v>3575522</v>
      </c>
      <c r="Q10" s="24">
        <v>3045613</v>
      </c>
      <c r="R10" s="24">
        <v>225615.25864984101</v>
      </c>
    </row>
    <row r="11" spans="1:18" ht="15" x14ac:dyDescent="0.25">
      <c r="A11" s="20">
        <v>2003</v>
      </c>
      <c r="B11" s="21">
        <f t="shared" si="2"/>
        <v>0.66907020934133687</v>
      </c>
      <c r="C11" s="25">
        <f t="shared" si="3"/>
        <v>0.8364073904574445</v>
      </c>
      <c r="D11" s="25">
        <f t="shared" si="4"/>
        <v>4.0257452396076587</v>
      </c>
      <c r="E11" s="25">
        <f t="shared" si="5"/>
        <v>-1.1368970916445946</v>
      </c>
      <c r="F11" s="47">
        <f t="shared" si="5"/>
        <v>4.3262349407948086</v>
      </c>
      <c r="G11" s="25">
        <f t="shared" si="6"/>
        <v>-2.1982126145097425</v>
      </c>
      <c r="H11" s="25">
        <f t="shared" si="7"/>
        <v>8.9605626369381852</v>
      </c>
      <c r="I11" s="26">
        <f t="shared" si="8"/>
        <v>0.51719159654542868</v>
      </c>
      <c r="J11" s="26">
        <f t="shared" si="8"/>
        <v>0.48280840345457132</v>
      </c>
      <c r="K11" s="22">
        <f t="shared" si="0"/>
        <v>0.51519147681786726</v>
      </c>
      <c r="L11" s="48">
        <f t="shared" si="1"/>
        <v>0.48480852318213274</v>
      </c>
      <c r="M11" s="23">
        <v>36612.896999999997</v>
      </c>
      <c r="N11" s="24">
        <v>43957.398645226996</v>
      </c>
      <c r="O11" s="24">
        <v>15920.262000000001</v>
      </c>
      <c r="P11" s="24">
        <v>3497782</v>
      </c>
      <c r="Q11" s="24">
        <v>2952162</v>
      </c>
      <c r="R11" s="24">
        <v>246765.077194474</v>
      </c>
    </row>
    <row r="12" spans="1:18" ht="15" x14ac:dyDescent="0.25">
      <c r="A12" s="20">
        <v>2004</v>
      </c>
      <c r="B12" s="21">
        <f t="shared" si="2"/>
        <v>0.67832337590837866</v>
      </c>
      <c r="C12" s="25">
        <f t="shared" si="3"/>
        <v>1.373512853002768</v>
      </c>
      <c r="D12" s="25">
        <f t="shared" si="4"/>
        <v>4.5438033913901776</v>
      </c>
      <c r="E12" s="25">
        <f t="shared" si="5"/>
        <v>1.1907787059224737</v>
      </c>
      <c r="F12" s="47">
        <f t="shared" si="5"/>
        <v>1.9795118324649359</v>
      </c>
      <c r="G12" s="25">
        <f t="shared" si="6"/>
        <v>2.3532585109759196</v>
      </c>
      <c r="H12" s="25">
        <f t="shared" si="7"/>
        <v>4.00721203678156</v>
      </c>
      <c r="I12" s="26">
        <f t="shared" si="8"/>
        <v>0.50601270551812261</v>
      </c>
      <c r="J12" s="26">
        <f t="shared" si="8"/>
        <v>0.49398729448187734</v>
      </c>
      <c r="K12" s="22">
        <f t="shared" si="0"/>
        <v>0.49683393421837801</v>
      </c>
      <c r="L12" s="48">
        <f t="shared" si="1"/>
        <v>0.50316606578162193</v>
      </c>
      <c r="M12" s="23">
        <v>40732.523000000001</v>
      </c>
      <c r="N12" s="24">
        <v>46000.809133960101</v>
      </c>
      <c r="O12" s="24">
        <v>16701.357</v>
      </c>
      <c r="P12" s="24">
        <v>3581070</v>
      </c>
      <c r="Q12" s="24">
        <v>2955371</v>
      </c>
      <c r="R12" s="24">
        <v>256854.27479522</v>
      </c>
    </row>
    <row r="13" spans="1:18" ht="15" x14ac:dyDescent="0.25">
      <c r="A13" s="20">
        <v>2005</v>
      </c>
      <c r="B13" s="21">
        <f t="shared" si="2"/>
        <v>0.71595845033994188</v>
      </c>
      <c r="C13" s="25">
        <f t="shared" si="3"/>
        <v>5.3998005175050627</v>
      </c>
      <c r="D13" s="25">
        <f t="shared" si="4"/>
        <v>5.7929696954062138</v>
      </c>
      <c r="E13" s="25">
        <f t="shared" si="5"/>
        <v>1.5790237141093586</v>
      </c>
      <c r="F13" s="47">
        <f t="shared" si="5"/>
        <v>-1.1858545362082076</v>
      </c>
      <c r="G13" s="25">
        <f t="shared" si="6"/>
        <v>3.1670951419727089</v>
      </c>
      <c r="H13" s="25">
        <f t="shared" si="7"/>
        <v>-2.3649529075429498</v>
      </c>
      <c r="I13" s="26">
        <f t="shared" si="8"/>
        <v>0.49857160689079327</v>
      </c>
      <c r="J13" s="26">
        <f t="shared" si="8"/>
        <v>0.50142839310920673</v>
      </c>
      <c r="K13" s="22">
        <f t="shared" si="0"/>
        <v>0.50030927956320848</v>
      </c>
      <c r="L13" s="48">
        <f t="shared" si="1"/>
        <v>0.49969072043679152</v>
      </c>
      <c r="M13" s="23">
        <v>44412.392999999996</v>
      </c>
      <c r="N13" s="24">
        <v>48744.320259415203</v>
      </c>
      <c r="O13" s="24">
        <v>18308.112000000001</v>
      </c>
      <c r="P13" s="24">
        <v>3696301</v>
      </c>
      <c r="Q13" s="24">
        <v>3045567</v>
      </c>
      <c r="R13" s="24">
        <v>250851.05857103001</v>
      </c>
    </row>
    <row r="14" spans="1:18" ht="15" x14ac:dyDescent="0.25">
      <c r="A14" s="20">
        <v>2006</v>
      </c>
      <c r="B14" s="21">
        <f t="shared" si="2"/>
        <v>0.76287637453462387</v>
      </c>
      <c r="C14" s="25">
        <f t="shared" si="3"/>
        <v>6.3473857619924869</v>
      </c>
      <c r="D14" s="25">
        <f t="shared" si="4"/>
        <v>9.8255585440837123</v>
      </c>
      <c r="E14" s="25">
        <f t="shared" si="5"/>
        <v>1.1558979678684174</v>
      </c>
      <c r="F14" s="47">
        <f t="shared" si="5"/>
        <v>2.3222748142228076</v>
      </c>
      <c r="G14" s="25">
        <f t="shared" si="6"/>
        <v>2.3403605753717471</v>
      </c>
      <c r="H14" s="25">
        <f t="shared" si="7"/>
        <v>4.5885453757311012</v>
      </c>
      <c r="I14" s="26">
        <f t="shared" si="8"/>
        <v>0.49389738488686186</v>
      </c>
      <c r="J14" s="26">
        <f t="shared" si="8"/>
        <v>0.50610261511313814</v>
      </c>
      <c r="K14" s="22">
        <f t="shared" si="0"/>
        <v>0.48748549021051518</v>
      </c>
      <c r="L14" s="48">
        <f t="shared" si="1"/>
        <v>0.51251450978948476</v>
      </c>
      <c r="M14" s="23">
        <v>50452.608</v>
      </c>
      <c r="N14" s="24">
        <v>53776.914071525804</v>
      </c>
      <c r="O14" s="24">
        <v>20151.489000000001</v>
      </c>
      <c r="P14" s="24">
        <v>3783828</v>
      </c>
      <c r="Q14" s="24">
        <v>3100225</v>
      </c>
      <c r="R14" s="24">
        <v>262629.63942974299</v>
      </c>
    </row>
    <row r="15" spans="1:18" ht="15" x14ac:dyDescent="0.25">
      <c r="A15" s="20">
        <v>2007</v>
      </c>
      <c r="B15" s="21">
        <f t="shared" si="2"/>
        <v>0.80368468846195751</v>
      </c>
      <c r="C15" s="25">
        <f t="shared" si="3"/>
        <v>5.2111021081678466</v>
      </c>
      <c r="D15" s="25">
        <f t="shared" si="4"/>
        <v>10.523136418168733</v>
      </c>
      <c r="E15" s="25">
        <f t="shared" si="5"/>
        <v>1.4640958047678696</v>
      </c>
      <c r="F15" s="47">
        <f t="shared" si="5"/>
        <v>3.8479385052330177</v>
      </c>
      <c r="G15" s="25">
        <f t="shared" si="6"/>
        <v>3.0084191485078904</v>
      </c>
      <c r="H15" s="25">
        <f t="shared" si="7"/>
        <v>7.495976751467559</v>
      </c>
      <c r="I15" s="26">
        <f t="shared" si="8"/>
        <v>0.48666616335493967</v>
      </c>
      <c r="J15" s="26">
        <f t="shared" si="8"/>
        <v>0.51333383664506027</v>
      </c>
      <c r="K15" s="22">
        <f t="shared" si="0"/>
        <v>0.48584683649936417</v>
      </c>
      <c r="L15" s="48">
        <f t="shared" si="1"/>
        <v>0.51415316350063578</v>
      </c>
      <c r="M15" s="23">
        <v>56585.46</v>
      </c>
      <c r="N15" s="24">
        <v>59744.410169082403</v>
      </c>
      <c r="O15" s="24">
        <v>22290.968000000001</v>
      </c>
      <c r="P15" s="24">
        <v>3899391</v>
      </c>
      <c r="Q15" s="24">
        <v>3161706</v>
      </c>
      <c r="R15" s="24">
        <v>283072.93693698302</v>
      </c>
    </row>
    <row r="16" spans="1:18" ht="15" x14ac:dyDescent="0.25">
      <c r="A16" s="20">
        <v>2008</v>
      </c>
      <c r="B16" s="21">
        <f t="shared" si="2"/>
        <v>0.81390473837088917</v>
      </c>
      <c r="C16" s="25">
        <f t="shared" si="3"/>
        <v>1.2636316398766638</v>
      </c>
      <c r="D16" s="25">
        <f t="shared" si="4"/>
        <v>5.8181352263039443</v>
      </c>
      <c r="E16" s="25">
        <f t="shared" si="5"/>
        <v>1.6055730910511543</v>
      </c>
      <c r="F16" s="47">
        <f t="shared" si="5"/>
        <v>2.9489304953761266</v>
      </c>
      <c r="G16" s="25">
        <f t="shared" si="6"/>
        <v>3.2927130123805881</v>
      </c>
      <c r="H16" s="25">
        <f t="shared" si="7"/>
        <v>5.7552913614181023</v>
      </c>
      <c r="I16" s="26">
        <f t="shared" si="8"/>
        <v>0.48761403894424016</v>
      </c>
      <c r="J16" s="26">
        <f t="shared" si="8"/>
        <v>0.51238596105575984</v>
      </c>
      <c r="K16" s="22">
        <f t="shared" si="0"/>
        <v>0.4893812413891161</v>
      </c>
      <c r="L16" s="48">
        <f t="shared" si="1"/>
        <v>0.5106187586108839</v>
      </c>
      <c r="M16" s="23">
        <v>61779.631999999998</v>
      </c>
      <c r="N16" s="24">
        <v>63323.5301902969</v>
      </c>
      <c r="O16" s="24">
        <v>24258.395</v>
      </c>
      <c r="P16" s="24">
        <v>4029924</v>
      </c>
      <c r="Q16" s="24">
        <v>3233451</v>
      </c>
      <c r="R16" s="24">
        <v>299842.55065791903</v>
      </c>
    </row>
    <row r="17" spans="1:20" ht="15" x14ac:dyDescent="0.25">
      <c r="A17" s="20">
        <v>2009</v>
      </c>
      <c r="B17" s="21">
        <f t="shared" si="2"/>
        <v>0.78256139833450289</v>
      </c>
      <c r="C17" s="25">
        <f t="shared" si="3"/>
        <v>-3.927094646433019</v>
      </c>
      <c r="D17" s="25">
        <f t="shared" si="4"/>
        <v>-5.2635767299070935</v>
      </c>
      <c r="E17" s="25">
        <f t="shared" si="5"/>
        <v>-1.3741778356215615</v>
      </c>
      <c r="F17" s="47">
        <f t="shared" si="5"/>
        <v>3.7695752147487147E-2</v>
      </c>
      <c r="G17" s="25">
        <f t="shared" si="6"/>
        <v>-2.7051454272879027</v>
      </c>
      <c r="H17" s="25">
        <f t="shared" si="7"/>
        <v>7.6615307681748845E-2</v>
      </c>
      <c r="I17" s="26">
        <f t="shared" si="8"/>
        <v>0.50798667670864217</v>
      </c>
      <c r="J17" s="26">
        <f t="shared" si="8"/>
        <v>0.49201332329135783</v>
      </c>
      <c r="K17" s="22">
        <f t="shared" si="0"/>
        <v>0.52659211202816825</v>
      </c>
      <c r="L17" s="48">
        <f t="shared" si="1"/>
        <v>0.47340788797183175</v>
      </c>
      <c r="M17" s="23">
        <v>57953.184999999998</v>
      </c>
      <c r="N17" s="24">
        <v>60076.648247586701</v>
      </c>
      <c r="O17" s="24">
        <v>24069.883999999998</v>
      </c>
      <c r="P17" s="24">
        <v>3922370</v>
      </c>
      <c r="Q17" s="24">
        <v>3093648</v>
      </c>
      <c r="R17" s="24">
        <v>300072.36397551501</v>
      </c>
    </row>
    <row r="18" spans="1:20" ht="15" x14ac:dyDescent="0.25">
      <c r="A18" s="20">
        <v>2010</v>
      </c>
      <c r="B18" s="21">
        <f t="shared" si="2"/>
        <v>0.8407512235356529</v>
      </c>
      <c r="C18" s="25">
        <f t="shared" si="3"/>
        <v>7.1723422248628825</v>
      </c>
      <c r="D18" s="25">
        <f t="shared" si="4"/>
        <v>6.7545549938568428</v>
      </c>
      <c r="E18" s="25">
        <f t="shared" si="5"/>
        <v>-7.2774549235421621E-2</v>
      </c>
      <c r="F18" s="47">
        <f t="shared" si="5"/>
        <v>-0.34501268177061811</v>
      </c>
      <c r="G18" s="25">
        <f t="shared" si="6"/>
        <v>-0.14080483027143487</v>
      </c>
      <c r="H18" s="25">
        <f t="shared" si="7"/>
        <v>-0.71408571827724643</v>
      </c>
      <c r="I18" s="26">
        <f t="shared" si="8"/>
        <v>0.51684696537136787</v>
      </c>
      <c r="J18" s="26">
        <f t="shared" si="8"/>
        <v>0.48315303462863213</v>
      </c>
      <c r="K18" s="22">
        <f t="shared" si="0"/>
        <v>0.5071018187145675</v>
      </c>
      <c r="L18" s="48">
        <f t="shared" si="1"/>
        <v>0.4928981812854325</v>
      </c>
      <c r="M18" s="23">
        <v>62293.101999999999</v>
      </c>
      <c r="N18" s="24">
        <v>64274.743834443201</v>
      </c>
      <c r="O18" s="24">
        <v>25006.791000000001</v>
      </c>
      <c r="P18" s="24">
        <v>3916851</v>
      </c>
      <c r="Q18" s="24">
        <v>3100701</v>
      </c>
      <c r="R18" s="24">
        <v>297937.22252284997</v>
      </c>
    </row>
    <row r="19" spans="1:20" ht="15" x14ac:dyDescent="0.25">
      <c r="A19" s="20">
        <v>2011</v>
      </c>
      <c r="B19" s="21">
        <f t="shared" si="2"/>
        <v>0.8522258470337426</v>
      </c>
      <c r="C19" s="25">
        <f t="shared" si="3"/>
        <v>1.3555764470255764</v>
      </c>
      <c r="D19" s="25">
        <f t="shared" si="4"/>
        <v>1.8052311532118281</v>
      </c>
      <c r="E19" s="25">
        <f t="shared" si="5"/>
        <v>0.55018416812975379</v>
      </c>
      <c r="F19" s="47">
        <f t="shared" si="5"/>
        <v>-0.10052946194350222</v>
      </c>
      <c r="G19" s="25">
        <f t="shared" si="6"/>
        <v>1.0836811598897711</v>
      </c>
      <c r="H19" s="25">
        <f t="shared" si="7"/>
        <v>-0.20420337059938731</v>
      </c>
      <c r="I19" s="26">
        <f t="shared" si="8"/>
        <v>0.50769930168917665</v>
      </c>
      <c r="J19" s="26">
        <f t="shared" si="8"/>
        <v>0.49230069831082329</v>
      </c>
      <c r="K19" s="22">
        <f t="shared" si="0"/>
        <v>0.50829678466378592</v>
      </c>
      <c r="L19" s="48">
        <f t="shared" si="1"/>
        <v>0.49170321533621408</v>
      </c>
      <c r="M19" s="23">
        <v>64503.483999999997</v>
      </c>
      <c r="N19" s="24">
        <v>65445.587958600401</v>
      </c>
      <c r="O19" s="24">
        <v>26171.448</v>
      </c>
      <c r="P19" s="24">
        <v>3959528</v>
      </c>
      <c r="Q19" s="24">
        <v>3160608</v>
      </c>
      <c r="R19" s="24">
        <v>297329.44543403602</v>
      </c>
    </row>
    <row r="20" spans="1:20" ht="15" x14ac:dyDescent="0.25">
      <c r="A20" s="20">
        <v>2012</v>
      </c>
      <c r="B20" s="21">
        <f t="shared" si="2"/>
        <v>0.87269282396211267</v>
      </c>
      <c r="C20" s="25">
        <f t="shared" si="3"/>
        <v>2.3732060954811121</v>
      </c>
      <c r="D20" s="25">
        <f t="shared" si="4"/>
        <v>2.4248469373464587</v>
      </c>
      <c r="E20" s="25">
        <f t="shared" si="5"/>
        <v>-8.633455591682844E-2</v>
      </c>
      <c r="F20" s="47">
        <f t="shared" si="5"/>
        <v>0.13797539778217527</v>
      </c>
      <c r="G20" s="25">
        <f t="shared" si="6"/>
        <v>-0.17097452034704474</v>
      </c>
      <c r="H20" s="25">
        <f t="shared" si="7"/>
        <v>0.27871322506225482</v>
      </c>
      <c r="I20" s="26">
        <f t="shared" si="8"/>
        <v>0.50495568428316817</v>
      </c>
      <c r="J20" s="26">
        <f t="shared" si="8"/>
        <v>0.49504431571683183</v>
      </c>
      <c r="K20" s="22">
        <f t="shared" si="0"/>
        <v>0.50161458390255043</v>
      </c>
      <c r="L20" s="48">
        <f t="shared" si="1"/>
        <v>0.49838541609744957</v>
      </c>
      <c r="M20" s="23">
        <v>67018.937000000005</v>
      </c>
      <c r="N20" s="24">
        <v>67051.940378646497</v>
      </c>
      <c r="O20" s="24">
        <v>26971.678</v>
      </c>
      <c r="P20" s="24">
        <v>3952764</v>
      </c>
      <c r="Q20" s="24">
        <v>3171328</v>
      </c>
      <c r="R20" s="24">
        <v>298159.29783746501</v>
      </c>
    </row>
    <row r="21" spans="1:20" ht="15" x14ac:dyDescent="0.25">
      <c r="A21" s="20">
        <v>2013</v>
      </c>
      <c r="B21" s="21">
        <f t="shared" si="2"/>
        <v>0.88108333165852515</v>
      </c>
      <c r="C21" s="25">
        <f t="shared" si="3"/>
        <v>0.95685777085919865</v>
      </c>
      <c r="D21" s="25">
        <f t="shared" si="4"/>
        <v>0.24769842361713756</v>
      </c>
      <c r="E21" s="25">
        <f t="shared" si="5"/>
        <v>-0.88685346992227243</v>
      </c>
      <c r="F21" s="47">
        <f t="shared" si="5"/>
        <v>0.17769412268021142</v>
      </c>
      <c r="G21" s="25">
        <f t="shared" si="6"/>
        <v>-1.759561818149713</v>
      </c>
      <c r="H21" s="25">
        <f t="shared" si="7"/>
        <v>0.35826836561465569</v>
      </c>
      <c r="I21" s="26">
        <f t="shared" si="8"/>
        <v>0.50401950120448347</v>
      </c>
      <c r="J21" s="26">
        <f t="shared" si="8"/>
        <v>0.49598049879551653</v>
      </c>
      <c r="K21" s="22">
        <f t="shared" si="0"/>
        <v>0.50642441850641651</v>
      </c>
      <c r="L21" s="48">
        <f t="shared" si="1"/>
        <v>0.49357558149358349</v>
      </c>
      <c r="M21" s="23">
        <v>67552.630999999994</v>
      </c>
      <c r="N21" s="24">
        <v>67218.232844854603</v>
      </c>
      <c r="O21" s="24">
        <v>27544.482</v>
      </c>
      <c r="P21" s="24">
        <v>3883821</v>
      </c>
      <c r="Q21" s="24">
        <v>3127065</v>
      </c>
      <c r="R21" s="24">
        <v>299229.424098043</v>
      </c>
    </row>
    <row r="22" spans="1:20" ht="15" x14ac:dyDescent="0.25">
      <c r="A22" s="20">
        <v>2014</v>
      </c>
      <c r="B22" s="21">
        <f t="shared" si="2"/>
        <v>0.90063191419760857</v>
      </c>
      <c r="C22" s="25">
        <f t="shared" si="3"/>
        <v>2.1944434791103147</v>
      </c>
      <c r="D22" s="25">
        <f t="shared" si="4"/>
        <v>2.6163070572142288</v>
      </c>
      <c r="E22" s="25">
        <f t="shared" si="5"/>
        <v>0.36616564953498076</v>
      </c>
      <c r="F22" s="47">
        <f t="shared" si="5"/>
        <v>5.5697928568933193E-2</v>
      </c>
      <c r="G22" s="25">
        <f t="shared" si="6"/>
        <v>0.71996365228841341</v>
      </c>
      <c r="H22" s="25">
        <f t="shared" si="7"/>
        <v>0.11334287860673697</v>
      </c>
      <c r="I22" s="26">
        <f t="shared" si="8"/>
        <v>0.50858907720010404</v>
      </c>
      <c r="J22" s="26">
        <f t="shared" si="8"/>
        <v>0.4914109227998959</v>
      </c>
      <c r="K22" s="22">
        <f t="shared" si="0"/>
        <v>0.51075373589379169</v>
      </c>
      <c r="L22" s="48">
        <f t="shared" si="1"/>
        <v>0.48924626410620831</v>
      </c>
      <c r="M22" s="23">
        <v>69149.607999999993</v>
      </c>
      <c r="N22" s="24">
        <v>69000.075817162506</v>
      </c>
      <c r="O22" s="24">
        <v>28687.66</v>
      </c>
      <c r="P22" s="24">
        <v>3911884</v>
      </c>
      <c r="Q22" s="24">
        <v>3177458</v>
      </c>
      <c r="R22" s="24">
        <v>299568.77161774901</v>
      </c>
    </row>
    <row r="23" spans="1:20" ht="15" x14ac:dyDescent="0.25">
      <c r="A23" s="20">
        <v>2015</v>
      </c>
      <c r="B23" s="21">
        <f t="shared" si="2"/>
        <v>0.9289677417147485</v>
      </c>
      <c r="C23" s="25">
        <f t="shared" si="3"/>
        <v>3.0977370710677747</v>
      </c>
      <c r="D23" s="25">
        <f t="shared" si="4"/>
        <v>4.8028776424169806</v>
      </c>
      <c r="E23" s="25">
        <f t="shared" si="5"/>
        <v>0.84249689781462667</v>
      </c>
      <c r="F23" s="47">
        <f t="shared" si="5"/>
        <v>0.86264367353457905</v>
      </c>
      <c r="G23" s="25">
        <f t="shared" si="6"/>
        <v>1.6430464138633027</v>
      </c>
      <c r="H23" s="25">
        <f t="shared" si="7"/>
        <v>1.7704883530985427</v>
      </c>
      <c r="I23" s="26">
        <f t="shared" si="8"/>
        <v>0.51276512380052597</v>
      </c>
      <c r="J23" s="26">
        <f t="shared" si="8"/>
        <v>0.48723487619947398</v>
      </c>
      <c r="K23" s="22">
        <f t="shared" si="0"/>
        <v>0.51477651170726035</v>
      </c>
      <c r="L23" s="48">
        <f t="shared" si="1"/>
        <v>0.48522348829273965</v>
      </c>
      <c r="M23" s="23">
        <v>72394.937999999995</v>
      </c>
      <c r="N23" s="24">
        <v>72394.937999999995</v>
      </c>
      <c r="O23" s="24">
        <v>30443.041000000001</v>
      </c>
      <c r="P23" s="24">
        <v>3976689</v>
      </c>
      <c r="Q23" s="24">
        <v>3248499</v>
      </c>
      <c r="R23" s="24">
        <v>304919.83199999999</v>
      </c>
    </row>
    <row r="24" spans="1:20" ht="15" x14ac:dyDescent="0.25">
      <c r="A24" s="20">
        <v>2016</v>
      </c>
      <c r="B24" s="21">
        <f t="shared" si="2"/>
        <v>0.93256633083445928</v>
      </c>
      <c r="C24" s="25">
        <f t="shared" si="3"/>
        <v>0.38662667048899524</v>
      </c>
      <c r="D24" s="25">
        <f t="shared" si="4"/>
        <v>2.0542529620986016</v>
      </c>
      <c r="E24" s="25">
        <f t="shared" si="5"/>
        <v>0.80792321825408719</v>
      </c>
      <c r="F24" s="47">
        <f t="shared" si="5"/>
        <v>0.85970307335551921</v>
      </c>
      <c r="G24" s="25">
        <f t="shared" si="6"/>
        <v>1.5461409408889182</v>
      </c>
      <c r="H24" s="25">
        <f t="shared" si="7"/>
        <v>1.8005827792629603</v>
      </c>
      <c r="I24" s="26">
        <f t="shared" si="8"/>
        <v>0.52254176633443927</v>
      </c>
      <c r="J24" s="26">
        <f t="shared" si="8"/>
        <v>0.47745823366556073</v>
      </c>
      <c r="K24" s="22">
        <f t="shared" si="0"/>
        <v>0.53030702096161819</v>
      </c>
      <c r="L24" s="48">
        <f t="shared" si="1"/>
        <v>0.46969297903838181</v>
      </c>
      <c r="M24" s="23">
        <v>73592.146999999997</v>
      </c>
      <c r="N24" s="24">
        <v>73897.493464406798</v>
      </c>
      <c r="O24" s="24">
        <v>32004.258000000002</v>
      </c>
      <c r="P24" s="24">
        <v>4038652</v>
      </c>
      <c r="Q24" s="24">
        <v>3311962</v>
      </c>
      <c r="R24" s="24">
        <v>310459.89299999998</v>
      </c>
    </row>
    <row r="25" spans="1:20" ht="15" x14ac:dyDescent="0.25">
      <c r="A25" s="20">
        <v>2017</v>
      </c>
      <c r="B25" s="21">
        <f t="shared" si="2"/>
        <v>0.94370141166937405</v>
      </c>
      <c r="C25" s="25">
        <f t="shared" si="3"/>
        <v>1.1869533663683147</v>
      </c>
      <c r="D25" s="25">
        <f t="shared" si="4"/>
        <v>2.2091389756896618</v>
      </c>
      <c r="E25" s="25">
        <f t="shared" si="5"/>
        <v>0.35900235359129418</v>
      </c>
      <c r="F25" s="47">
        <f t="shared" si="5"/>
        <v>0.66318325573005266</v>
      </c>
      <c r="G25" s="25">
        <f t="shared" si="6"/>
        <v>0.6634126757044001</v>
      </c>
      <c r="H25" s="25">
        <f t="shared" si="7"/>
        <v>1.4452998016366791</v>
      </c>
      <c r="I25" s="26">
        <f t="shared" si="8"/>
        <v>0.54114485106892429</v>
      </c>
      <c r="J25" s="26">
        <f t="shared" si="8"/>
        <v>0.45885514893107576</v>
      </c>
      <c r="K25" s="22">
        <f t="shared" si="0"/>
        <v>0.55198268117623028</v>
      </c>
      <c r="L25" s="48">
        <f t="shared" si="1"/>
        <v>0.44801731882376972</v>
      </c>
      <c r="M25" s="23">
        <v>76152.414999999994</v>
      </c>
      <c r="N25" s="24">
        <v>75548.157394190202</v>
      </c>
      <c r="O25" s="24">
        <v>34554.086000000003</v>
      </c>
      <c r="P25" s="24">
        <v>4065534</v>
      </c>
      <c r="Q25" s="24">
        <v>3342011</v>
      </c>
      <c r="R25" s="24">
        <v>314979.55185253802</v>
      </c>
    </row>
    <row r="26" spans="1:20" ht="15" x14ac:dyDescent="0.25">
      <c r="A26" s="20">
        <v>2018</v>
      </c>
      <c r="B26" s="21">
        <f t="shared" si="2"/>
        <v>0.96857896309050273</v>
      </c>
      <c r="C26" s="25">
        <f t="shared" si="3"/>
        <v>2.6020195936836568</v>
      </c>
      <c r="D26" s="25">
        <f t="shared" si="4"/>
        <v>3.8909162476151948</v>
      </c>
      <c r="E26" s="25">
        <f t="shared" si="5"/>
        <v>0.7857684548280589</v>
      </c>
      <c r="F26" s="47">
        <f t="shared" si="5"/>
        <v>0.50312819910347928</v>
      </c>
      <c r="G26" s="25">
        <f t="shared" si="6"/>
        <v>1.4115747120307276</v>
      </c>
      <c r="H26" s="25">
        <f t="shared" si="7"/>
        <v>1.1348608848026132</v>
      </c>
      <c r="I26" s="26">
        <f t="shared" si="8"/>
        <v>0.55666090369218379</v>
      </c>
      <c r="J26" s="26">
        <f t="shared" si="8"/>
        <v>0.44333909630781621</v>
      </c>
      <c r="K26" s="22">
        <f t="shared" si="0"/>
        <v>0.56133912620813731</v>
      </c>
      <c r="L26" s="48">
        <f t="shared" si="1"/>
        <v>0.43866087379186269</v>
      </c>
      <c r="M26" s="23">
        <v>80918.524999999994</v>
      </c>
      <c r="N26" s="24">
        <v>78545.608939942496</v>
      </c>
      <c r="O26" s="24">
        <v>37449.042000000001</v>
      </c>
      <c r="P26" s="24">
        <v>4123329</v>
      </c>
      <c r="Q26" s="24">
        <v>3399503</v>
      </c>
      <c r="R26" s="24">
        <v>318574.4917823</v>
      </c>
    </row>
    <row r="27" spans="1:20" ht="15" x14ac:dyDescent="0.25">
      <c r="A27" s="20">
        <f>A26+1</f>
        <v>2019</v>
      </c>
      <c r="B27" s="21">
        <f t="shared" si="2"/>
        <v>0.97429972199437576</v>
      </c>
      <c r="C27" s="25">
        <f t="shared" si="3"/>
        <v>0.58889682415569777</v>
      </c>
      <c r="D27" s="25">
        <f t="shared" si="4"/>
        <v>1.8173369474951073</v>
      </c>
      <c r="E27" s="25">
        <f t="shared" si="5"/>
        <v>0.19210850805372606</v>
      </c>
      <c r="F27" s="47">
        <f t="shared" si="5"/>
        <v>1.0363316152856834</v>
      </c>
      <c r="G27" s="25">
        <f t="shared" si="6"/>
        <v>0.33651515548651645</v>
      </c>
      <c r="H27" s="25">
        <f t="shared" si="7"/>
        <v>2.4149947447243747</v>
      </c>
      <c r="I27" s="26">
        <f t="shared" si="8"/>
        <v>0.57087624412037363</v>
      </c>
      <c r="J27" s="26">
        <f t="shared" si="8"/>
        <v>0.42912375587962642</v>
      </c>
      <c r="K27" s="22">
        <f t="shared" si="0"/>
        <v>0.58041336203260985</v>
      </c>
      <c r="L27" s="48">
        <f t="shared" si="1"/>
        <v>0.41958663796739015</v>
      </c>
      <c r="M27" s="23">
        <v>84543.596999999994</v>
      </c>
      <c r="N27" s="24">
        <v>79986.096926267594</v>
      </c>
      <c r="O27" s="24">
        <v>40295.542999999998</v>
      </c>
      <c r="P27" s="24">
        <v>4137228</v>
      </c>
      <c r="Q27" s="24">
        <v>3397413</v>
      </c>
      <c r="R27" s="24">
        <v>326361.70089464902</v>
      </c>
    </row>
    <row r="28" spans="1:20" ht="15" x14ac:dyDescent="0.25">
      <c r="A28" s="20">
        <f t="shared" ref="A28:A30" si="9">A27+1</f>
        <v>2020</v>
      </c>
      <c r="B28" s="21">
        <v>1</v>
      </c>
      <c r="C28" s="25">
        <f t="shared" si="3"/>
        <v>2.6036299889714418</v>
      </c>
      <c r="D28" s="25">
        <f t="shared" si="4"/>
        <v>-2.3954703274750244</v>
      </c>
      <c r="E28" s="25">
        <f t="shared" si="5"/>
        <v>-5.4060622245689531</v>
      </c>
      <c r="F28" s="47">
        <f t="shared" si="5"/>
        <v>0.40696190812248695</v>
      </c>
      <c r="G28" s="25">
        <f t="shared" si="6"/>
        <v>-9.2608615202014022</v>
      </c>
      <c r="H28" s="25">
        <f t="shared" si="7"/>
        <v>0.97769496829300806</v>
      </c>
      <c r="I28" s="26">
        <f t="shared" si="8"/>
        <v>0.5837537050712085</v>
      </c>
      <c r="J28" s="26">
        <f t="shared" si="8"/>
        <v>0.41624629492879156</v>
      </c>
      <c r="K28" s="22">
        <f t="shared" si="0"/>
        <v>0.58709404810980703</v>
      </c>
      <c r="L28" s="48">
        <f t="shared" si="1"/>
        <v>0.41290595189019297</v>
      </c>
      <c r="M28" s="23">
        <v>84654.95</v>
      </c>
      <c r="N28" s="24">
        <v>78092.820677354306</v>
      </c>
      <c r="O28" s="24">
        <v>41052.697999999997</v>
      </c>
      <c r="P28" s="24">
        <v>3771291</v>
      </c>
      <c r="Q28" s="24">
        <v>3115098</v>
      </c>
      <c r="R28" s="24">
        <v>329568.17203438899</v>
      </c>
    </row>
    <row r="29" spans="1:20" ht="15" x14ac:dyDescent="0.25">
      <c r="A29" s="20">
        <f t="shared" si="9"/>
        <v>2021</v>
      </c>
      <c r="B29" s="21">
        <f>B28*EXP(C29/100)</f>
        <v>1.0456461987785899</v>
      </c>
      <c r="C29" s="25">
        <f t="shared" si="3"/>
        <v>4.4635066340496428</v>
      </c>
      <c r="D29" s="25">
        <f t="shared" si="4"/>
        <v>4.9859172537038532</v>
      </c>
      <c r="E29" s="25">
        <f t="shared" si="5"/>
        <v>1.1940240214005348E-2</v>
      </c>
      <c r="F29" s="47">
        <f t="shared" si="5"/>
        <v>0.51047037944020535</v>
      </c>
      <c r="G29" s="25">
        <f t="shared" si="6"/>
        <v>2.0494859454522896E-2</v>
      </c>
      <c r="H29" s="25">
        <f t="shared" si="7"/>
        <v>1.2229671932997732</v>
      </c>
      <c r="I29" s="26">
        <f t="shared" si="8"/>
        <v>0.58259683314736388</v>
      </c>
      <c r="J29" s="26">
        <f t="shared" si="8"/>
        <v>0.41740316685263612</v>
      </c>
      <c r="K29" s="22">
        <f t="shared" si="0"/>
        <v>0.57809961818492073</v>
      </c>
      <c r="L29" s="48">
        <f t="shared" si="1"/>
        <v>0.42190038181507927</v>
      </c>
      <c r="M29" s="23">
        <v>91143.255999999994</v>
      </c>
      <c r="N29" s="24">
        <v>82085.164553097697</v>
      </c>
      <c r="O29" s="24">
        <v>43455.885000000002</v>
      </c>
      <c r="P29" s="24">
        <v>3772064</v>
      </c>
      <c r="Q29" s="24">
        <v>3111003</v>
      </c>
      <c r="R29" s="24">
        <v>333623.42934765498</v>
      </c>
    </row>
    <row r="30" spans="1:20" ht="15" x14ac:dyDescent="0.25">
      <c r="A30" s="20">
        <f t="shared" si="9"/>
        <v>2022</v>
      </c>
      <c r="B30" s="27">
        <f t="shared" ref="B30" si="10">B29*EXP(C30/100)</f>
        <v>1.0116507682363893</v>
      </c>
      <c r="C30" s="28">
        <f t="shared" si="3"/>
        <v>-3.3051645708216588</v>
      </c>
      <c r="D30" s="25">
        <f t="shared" si="4"/>
        <v>9.3165643423986921E-2</v>
      </c>
      <c r="E30" s="28">
        <f t="shared" si="5"/>
        <v>2.0509021474728293</v>
      </c>
      <c r="F30" s="51">
        <f t="shared" si="5"/>
        <v>1.3474280667728165</v>
      </c>
      <c r="G30" s="25">
        <f t="shared" si="6"/>
        <v>3.5431037664459097</v>
      </c>
      <c r="H30" s="25">
        <f t="shared" si="7"/>
        <v>3.1993514801861522</v>
      </c>
      <c r="I30" s="26">
        <f t="shared" si="8"/>
        <v>0.57884337650378526</v>
      </c>
      <c r="J30" s="26">
        <f t="shared" si="8"/>
        <v>0.42115662349621469</v>
      </c>
      <c r="K30" s="22">
        <f t="shared" si="0"/>
        <v>0.5795871348226499</v>
      </c>
      <c r="L30" s="48">
        <f t="shared" si="1"/>
        <v>0.4204128651773501</v>
      </c>
      <c r="M30" s="23">
        <v>98176.823999999993</v>
      </c>
      <c r="N30" s="23">
        <v>82161.675360167894</v>
      </c>
      <c r="O30" s="23">
        <v>46722.841999999997</v>
      </c>
      <c r="P30" s="24">
        <v>3908108</v>
      </c>
      <c r="Q30" s="24">
        <v>3208988</v>
      </c>
      <c r="R30" s="24">
        <v>344469.797019249</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0E10-2956-4B03-AD13-593F0AE6E9EC}">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80</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0.62722112934086716</v>
      </c>
      <c r="L9" s="48">
        <f t="shared" ref="L9:L30" si="1">1-K9</f>
        <v>0.37277887065913284</v>
      </c>
      <c r="M9" s="23">
        <v>127287</v>
      </c>
      <c r="N9" s="24">
        <v>161196</v>
      </c>
      <c r="O9" s="24">
        <v>66893</v>
      </c>
      <c r="P9" s="24">
        <v>3946800</v>
      </c>
      <c r="Q9" s="24">
        <v>3306900</v>
      </c>
      <c r="R9" s="24">
        <v>556331.06991308799</v>
      </c>
    </row>
    <row r="10" spans="1:18" ht="15" x14ac:dyDescent="0.25">
      <c r="A10" s="20">
        <v>2002</v>
      </c>
      <c r="B10" s="21">
        <f t="shared" ref="B10:B27" si="2">B11*EXP(-C11/100)</f>
        <v>0.94702828658612193</v>
      </c>
      <c r="C10" s="25">
        <f t="shared" ref="C10:C30" si="3">D10-E10-F10</f>
        <v>0.22844832271058979</v>
      </c>
      <c r="D10" s="25">
        <f t="shared" ref="D10:D30" si="4">(LN(N10)-LN(N9))*100</f>
        <v>1.3059835369796602</v>
      </c>
      <c r="E10" s="25">
        <f t="shared" ref="E10:F30" si="5">I10*G10</f>
        <v>0.49677239051951888</v>
      </c>
      <c r="F10" s="47">
        <f t="shared" si="5"/>
        <v>0.58076282374955146</v>
      </c>
      <c r="G10" s="25">
        <f t="shared" ref="G10:G30" si="6">(LN(P10)-LN(P9))*100</f>
        <v>0.78991943753781158</v>
      </c>
      <c r="H10" s="25">
        <f t="shared" ref="H10:H30" si="7">(LN(R10)-LN(R9))*100</f>
        <v>1.564934212182223</v>
      </c>
      <c r="I10" s="26">
        <f t="shared" ref="I10:J30" si="8">(K10+K9)/2</f>
        <v>0.62888994359724126</v>
      </c>
      <c r="J10" s="26">
        <f t="shared" si="8"/>
        <v>0.37111005640275868</v>
      </c>
      <c r="K10" s="22">
        <f t="shared" si="0"/>
        <v>0.63055875785361548</v>
      </c>
      <c r="L10" s="48">
        <f t="shared" si="1"/>
        <v>0.36944124214638452</v>
      </c>
      <c r="M10" s="23">
        <v>130172</v>
      </c>
      <c r="N10" s="24">
        <v>163315</v>
      </c>
      <c r="O10" s="24">
        <v>69012</v>
      </c>
      <c r="P10" s="24">
        <v>3978100</v>
      </c>
      <c r="Q10" s="24">
        <v>3344700</v>
      </c>
      <c r="R10" s="24">
        <v>565105.76518575405</v>
      </c>
    </row>
    <row r="11" spans="1:18" ht="15" x14ac:dyDescent="0.25">
      <c r="A11" s="20">
        <v>2003</v>
      </c>
      <c r="B11" s="21">
        <f t="shared" si="2"/>
        <v>0.95335991004053622</v>
      </c>
      <c r="C11" s="25">
        <f t="shared" si="3"/>
        <v>0.66635300030086342</v>
      </c>
      <c r="D11" s="25">
        <f t="shared" si="4"/>
        <v>1.1730214823517215</v>
      </c>
      <c r="E11" s="25">
        <f t="shared" si="5"/>
        <v>-7.9496293101105772E-2</v>
      </c>
      <c r="F11" s="47">
        <f t="shared" si="5"/>
        <v>0.58616477515196397</v>
      </c>
      <c r="G11" s="25">
        <f t="shared" si="6"/>
        <v>-0.12576719637440448</v>
      </c>
      <c r="H11" s="25">
        <f t="shared" si="7"/>
        <v>1.5932323591970388</v>
      </c>
      <c r="I11" s="26">
        <f t="shared" si="8"/>
        <v>0.63209084238824986</v>
      </c>
      <c r="J11" s="26">
        <f t="shared" si="8"/>
        <v>0.36790915761175019</v>
      </c>
      <c r="K11" s="22">
        <f t="shared" si="0"/>
        <v>0.63362292692288413</v>
      </c>
      <c r="L11" s="48">
        <f t="shared" si="1"/>
        <v>0.36637707307711587</v>
      </c>
      <c r="M11" s="23">
        <v>132388</v>
      </c>
      <c r="N11" s="24">
        <v>165242</v>
      </c>
      <c r="O11" s="24">
        <v>70680</v>
      </c>
      <c r="P11" s="24">
        <v>3973100</v>
      </c>
      <c r="Q11" s="24">
        <v>3347700</v>
      </c>
      <c r="R11" s="24">
        <v>574181.31844948302</v>
      </c>
    </row>
    <row r="12" spans="1:18" ht="15" x14ac:dyDescent="0.25">
      <c r="A12" s="20">
        <v>2004</v>
      </c>
      <c r="B12" s="21">
        <f t="shared" si="2"/>
        <v>0.98020304360986621</v>
      </c>
      <c r="C12" s="25">
        <f t="shared" si="3"/>
        <v>2.7767245139175776</v>
      </c>
      <c r="D12" s="25">
        <f t="shared" si="4"/>
        <v>3.8046453841509731</v>
      </c>
      <c r="E12" s="25">
        <f t="shared" si="5"/>
        <v>0.37983891355017635</v>
      </c>
      <c r="F12" s="47">
        <f t="shared" si="5"/>
        <v>0.64808195668321922</v>
      </c>
      <c r="G12" s="25">
        <f t="shared" si="6"/>
        <v>0.60224517677873735</v>
      </c>
      <c r="H12" s="25">
        <f t="shared" si="7"/>
        <v>1.7549156525717535</v>
      </c>
      <c r="I12" s="26">
        <f t="shared" si="8"/>
        <v>0.63070478302847044</v>
      </c>
      <c r="J12" s="26">
        <f t="shared" si="8"/>
        <v>0.36929521697152962</v>
      </c>
      <c r="K12" s="22">
        <f t="shared" si="0"/>
        <v>0.62778663913405663</v>
      </c>
      <c r="L12" s="48">
        <f t="shared" si="1"/>
        <v>0.37221336086594337</v>
      </c>
      <c r="M12" s="23">
        <v>139016</v>
      </c>
      <c r="N12" s="24">
        <v>171650</v>
      </c>
      <c r="O12" s="24">
        <v>73624</v>
      </c>
      <c r="P12" s="24">
        <v>3997100</v>
      </c>
      <c r="Q12" s="24">
        <v>3372000</v>
      </c>
      <c r="R12" s="24">
        <v>584346.65190918103</v>
      </c>
    </row>
    <row r="13" spans="1:18" ht="15" x14ac:dyDescent="0.25">
      <c r="A13" s="20">
        <v>2005</v>
      </c>
      <c r="B13" s="21">
        <f t="shared" si="2"/>
        <v>0.99333397220385766</v>
      </c>
      <c r="C13" s="25">
        <f t="shared" si="3"/>
        <v>1.3307196428091916</v>
      </c>
      <c r="D13" s="25">
        <f t="shared" si="4"/>
        <v>2.5475238061668293</v>
      </c>
      <c r="E13" s="25">
        <f t="shared" si="5"/>
        <v>0.55599752652976486</v>
      </c>
      <c r="F13" s="47">
        <f t="shared" si="5"/>
        <v>0.66080663682787288</v>
      </c>
      <c r="G13" s="25">
        <f t="shared" si="6"/>
        <v>0.8792634017353862</v>
      </c>
      <c r="H13" s="25">
        <f t="shared" si="7"/>
        <v>1.7973536211238539</v>
      </c>
      <c r="I13" s="26">
        <f t="shared" si="8"/>
        <v>0.63234467104215031</v>
      </c>
      <c r="J13" s="26">
        <f t="shared" si="8"/>
        <v>0.36765532895784969</v>
      </c>
      <c r="K13" s="22">
        <f t="shared" si="0"/>
        <v>0.63690270295024398</v>
      </c>
      <c r="L13" s="48">
        <f t="shared" si="1"/>
        <v>0.36309729704975602</v>
      </c>
      <c r="M13" s="23">
        <v>143900</v>
      </c>
      <c r="N13" s="24">
        <v>176079</v>
      </c>
      <c r="O13" s="24">
        <v>77395</v>
      </c>
      <c r="P13" s="24">
        <v>4032400</v>
      </c>
      <c r="Q13" s="24">
        <v>3405200</v>
      </c>
      <c r="R13" s="24">
        <v>594944.38166048995</v>
      </c>
    </row>
    <row r="14" spans="1:18" ht="15" x14ac:dyDescent="0.25">
      <c r="A14" s="20">
        <v>2006</v>
      </c>
      <c r="B14" s="21">
        <f t="shared" si="2"/>
        <v>1.0143606034288346</v>
      </c>
      <c r="C14" s="25">
        <f t="shared" si="3"/>
        <v>2.0946811625547825</v>
      </c>
      <c r="D14" s="25">
        <f t="shared" si="4"/>
        <v>3.7191812605772867</v>
      </c>
      <c r="E14" s="25">
        <f t="shared" si="5"/>
        <v>0.98582546274541338</v>
      </c>
      <c r="F14" s="47">
        <f t="shared" si="5"/>
        <v>0.63867463527709067</v>
      </c>
      <c r="G14" s="25">
        <f t="shared" si="6"/>
        <v>1.5453823963586188</v>
      </c>
      <c r="H14" s="25">
        <f t="shared" si="7"/>
        <v>1.7638893901013475</v>
      </c>
      <c r="I14" s="26">
        <f t="shared" si="8"/>
        <v>0.63791684509174673</v>
      </c>
      <c r="J14" s="26">
        <f t="shared" si="8"/>
        <v>0.36208315490825332</v>
      </c>
      <c r="K14" s="22">
        <f t="shared" si="0"/>
        <v>0.63893098723324937</v>
      </c>
      <c r="L14" s="48">
        <f t="shared" si="1"/>
        <v>0.36106901276675063</v>
      </c>
      <c r="M14" s="23">
        <v>150722</v>
      </c>
      <c r="N14" s="24">
        <v>182751</v>
      </c>
      <c r="O14" s="24">
        <v>81338</v>
      </c>
      <c r="P14" s="24">
        <v>4095200</v>
      </c>
      <c r="Q14" s="24">
        <v>3458900</v>
      </c>
      <c r="R14" s="24">
        <v>605531.64176416595</v>
      </c>
    </row>
    <row r="15" spans="1:18" ht="15" x14ac:dyDescent="0.25">
      <c r="A15" s="20">
        <v>2007</v>
      </c>
      <c r="B15" s="21">
        <f t="shared" si="2"/>
        <v>1.0529450961257814</v>
      </c>
      <c r="C15" s="25">
        <f t="shared" si="3"/>
        <v>3.7332624728331663</v>
      </c>
      <c r="D15" s="25">
        <f t="shared" si="4"/>
        <v>5.8449258939317517</v>
      </c>
      <c r="E15" s="25">
        <f t="shared" si="5"/>
        <v>1.2339653274379556</v>
      </c>
      <c r="F15" s="47">
        <f t="shared" si="5"/>
        <v>0.8776980936606299</v>
      </c>
      <c r="G15" s="25">
        <f t="shared" si="6"/>
        <v>1.9634075272582763</v>
      </c>
      <c r="H15" s="25">
        <f t="shared" si="7"/>
        <v>2.3624614043141534</v>
      </c>
      <c r="I15" s="26">
        <f t="shared" si="8"/>
        <v>0.6284815099802934</v>
      </c>
      <c r="J15" s="26">
        <f t="shared" si="8"/>
        <v>0.3715184900197066</v>
      </c>
      <c r="K15" s="22">
        <f t="shared" si="0"/>
        <v>0.61803203272733742</v>
      </c>
      <c r="L15" s="48">
        <f t="shared" si="1"/>
        <v>0.38196796727266258</v>
      </c>
      <c r="M15" s="23">
        <v>164129</v>
      </c>
      <c r="N15" s="24">
        <v>193751</v>
      </c>
      <c r="O15" s="24">
        <v>85895</v>
      </c>
      <c r="P15" s="24">
        <v>4176400</v>
      </c>
      <c r="Q15" s="24">
        <v>3536500</v>
      </c>
      <c r="R15" s="24">
        <v>620007.41207028797</v>
      </c>
    </row>
    <row r="16" spans="1:18" ht="15" x14ac:dyDescent="0.25">
      <c r="A16" s="20">
        <v>2008</v>
      </c>
      <c r="B16" s="21">
        <f t="shared" si="2"/>
        <v>1.0411704421158656</v>
      </c>
      <c r="C16" s="25">
        <f t="shared" si="3"/>
        <v>-1.124558591252538</v>
      </c>
      <c r="D16" s="25">
        <f t="shared" si="4"/>
        <v>0.91144189772158768</v>
      </c>
      <c r="E16" s="25">
        <f t="shared" si="5"/>
        <v>1.219478022987617</v>
      </c>
      <c r="F16" s="47">
        <f t="shared" si="5"/>
        <v>0.81652246598650868</v>
      </c>
      <c r="G16" s="25">
        <f t="shared" si="6"/>
        <v>1.9514317956105032</v>
      </c>
      <c r="H16" s="25">
        <f t="shared" si="7"/>
        <v>2.1768969046318531</v>
      </c>
      <c r="I16" s="26">
        <f t="shared" si="8"/>
        <v>0.62491449905176144</v>
      </c>
      <c r="J16" s="26">
        <f t="shared" si="8"/>
        <v>0.37508550094823861</v>
      </c>
      <c r="K16" s="22">
        <f t="shared" si="0"/>
        <v>0.63179696537618535</v>
      </c>
      <c r="L16" s="48">
        <f t="shared" si="1"/>
        <v>0.36820303462381465</v>
      </c>
      <c r="M16" s="23">
        <v>170928</v>
      </c>
      <c r="N16" s="24">
        <v>195525</v>
      </c>
      <c r="O16" s="24">
        <v>91570</v>
      </c>
      <c r="P16" s="24">
        <v>4258700</v>
      </c>
      <c r="Q16" s="24">
        <v>3611100</v>
      </c>
      <c r="R16" s="24">
        <v>633652.31310426095</v>
      </c>
    </row>
    <row r="17" spans="1:20" ht="15" x14ac:dyDescent="0.25">
      <c r="A17" s="20">
        <v>2009</v>
      </c>
      <c r="B17" s="21">
        <f t="shared" si="2"/>
        <v>0.97214225691253964</v>
      </c>
      <c r="C17" s="25">
        <f t="shared" si="3"/>
        <v>-6.8598635830828885</v>
      </c>
      <c r="D17" s="25">
        <f t="shared" si="4"/>
        <v>-9.0186898683629835</v>
      </c>
      <c r="E17" s="25">
        <f t="shared" si="5"/>
        <v>-2.528129225099228</v>
      </c>
      <c r="F17" s="47">
        <f t="shared" si="5"/>
        <v>0.36930293981913309</v>
      </c>
      <c r="G17" s="25">
        <f t="shared" si="6"/>
        <v>-3.8635729195487301</v>
      </c>
      <c r="H17" s="25">
        <f t="shared" si="7"/>
        <v>1.0684305473343869</v>
      </c>
      <c r="I17" s="26">
        <f t="shared" si="8"/>
        <v>0.65435007381574584</v>
      </c>
      <c r="J17" s="26">
        <f t="shared" si="8"/>
        <v>0.34564992618425416</v>
      </c>
      <c r="K17" s="22">
        <f t="shared" si="0"/>
        <v>0.67690318225530632</v>
      </c>
      <c r="L17" s="48">
        <f t="shared" si="1"/>
        <v>0.32309681774469368</v>
      </c>
      <c r="M17" s="23">
        <v>159054</v>
      </c>
      <c r="N17" s="24">
        <v>178663</v>
      </c>
      <c r="O17" s="24">
        <v>90508</v>
      </c>
      <c r="P17" s="24">
        <v>4097300</v>
      </c>
      <c r="Q17" s="24">
        <v>3444400</v>
      </c>
      <c r="R17" s="24">
        <v>640458.74422747002</v>
      </c>
    </row>
    <row r="18" spans="1:20" ht="15" x14ac:dyDescent="0.25">
      <c r="A18" s="20">
        <v>2010</v>
      </c>
      <c r="B18" s="21">
        <f t="shared" si="2"/>
        <v>1.0022835638635863</v>
      </c>
      <c r="C18" s="25">
        <f t="shared" si="3"/>
        <v>3.0534090876412447</v>
      </c>
      <c r="D18" s="25">
        <f t="shared" si="4"/>
        <v>3.1633075918305664</v>
      </c>
      <c r="E18" s="25">
        <f t="shared" si="5"/>
        <v>-0.26124234837250876</v>
      </c>
      <c r="F18" s="47">
        <f t="shared" si="5"/>
        <v>0.37114085256183038</v>
      </c>
      <c r="G18" s="25">
        <f t="shared" si="6"/>
        <v>-0.38881533815882108</v>
      </c>
      <c r="H18" s="25">
        <f t="shared" si="7"/>
        <v>1.1311583771384193</v>
      </c>
      <c r="I18" s="26">
        <f t="shared" si="8"/>
        <v>0.67189311411834773</v>
      </c>
      <c r="J18" s="26">
        <f t="shared" si="8"/>
        <v>0.32810688588165232</v>
      </c>
      <c r="K18" s="22">
        <f t="shared" si="0"/>
        <v>0.66688304598138903</v>
      </c>
      <c r="L18" s="48">
        <f t="shared" si="1"/>
        <v>0.33311695401861097</v>
      </c>
      <c r="M18" s="23">
        <v>164666</v>
      </c>
      <c r="N18" s="24">
        <v>184405</v>
      </c>
      <c r="O18" s="24">
        <v>92596</v>
      </c>
      <c r="P18" s="24">
        <v>4081400</v>
      </c>
      <c r="Q18" s="24">
        <v>3441500</v>
      </c>
      <c r="R18" s="24">
        <v>647744.47586165497</v>
      </c>
    </row>
    <row r="19" spans="1:20" ht="15" x14ac:dyDescent="0.25">
      <c r="A19" s="20">
        <v>2011</v>
      </c>
      <c r="B19" s="21">
        <f t="shared" si="2"/>
        <v>1.0081184662941312</v>
      </c>
      <c r="C19" s="25">
        <f t="shared" si="3"/>
        <v>0.58047283347946932</v>
      </c>
      <c r="D19" s="25">
        <f t="shared" si="4"/>
        <v>1.7140296720773662</v>
      </c>
      <c r="E19" s="25">
        <f t="shared" si="5"/>
        <v>0.66679199241404952</v>
      </c>
      <c r="F19" s="47">
        <f t="shared" si="5"/>
        <v>0.46676484618384739</v>
      </c>
      <c r="G19" s="25">
        <f t="shared" si="6"/>
        <v>0.99711932108537127</v>
      </c>
      <c r="H19" s="25">
        <f t="shared" si="7"/>
        <v>1.4089668221076934</v>
      </c>
      <c r="I19" s="26">
        <f t="shared" si="8"/>
        <v>0.66871835527992962</v>
      </c>
      <c r="J19" s="26">
        <f t="shared" si="8"/>
        <v>0.33128164472007032</v>
      </c>
      <c r="K19" s="22">
        <f t="shared" si="0"/>
        <v>0.67055366457847032</v>
      </c>
      <c r="L19" s="48">
        <f t="shared" si="1"/>
        <v>0.32944633542152968</v>
      </c>
      <c r="M19" s="23">
        <v>171239</v>
      </c>
      <c r="N19" s="24">
        <v>187593</v>
      </c>
      <c r="O19" s="24">
        <v>97076</v>
      </c>
      <c r="P19" s="24">
        <v>4122300</v>
      </c>
      <c r="Q19" s="24">
        <v>3485100</v>
      </c>
      <c r="R19" s="24">
        <v>656935.57836096897</v>
      </c>
    </row>
    <row r="20" spans="1:20" ht="15" x14ac:dyDescent="0.25">
      <c r="A20" s="20">
        <v>2012</v>
      </c>
      <c r="B20" s="21">
        <f t="shared" si="2"/>
        <v>0.98422978457389576</v>
      </c>
      <c r="C20" s="25">
        <f t="shared" si="3"/>
        <v>-2.3981577112191337</v>
      </c>
      <c r="D20" s="25">
        <f t="shared" si="4"/>
        <v>-2.0682257952842065</v>
      </c>
      <c r="E20" s="25">
        <f t="shared" si="5"/>
        <v>-9.0433345345099628E-2</v>
      </c>
      <c r="F20" s="47">
        <f t="shared" si="5"/>
        <v>0.42036526128002671</v>
      </c>
      <c r="G20" s="25">
        <f t="shared" si="6"/>
        <v>-0.13350974783588043</v>
      </c>
      <c r="H20" s="25">
        <f t="shared" si="7"/>
        <v>1.3028678531005866</v>
      </c>
      <c r="I20" s="26">
        <f t="shared" si="8"/>
        <v>0.6773538772334935</v>
      </c>
      <c r="J20" s="26">
        <f t="shared" si="8"/>
        <v>0.32264612276650656</v>
      </c>
      <c r="K20" s="22">
        <f t="shared" si="0"/>
        <v>0.68415408988851656</v>
      </c>
      <c r="L20" s="48">
        <f t="shared" si="1"/>
        <v>0.31584591011148344</v>
      </c>
      <c r="M20" s="23">
        <v>173004</v>
      </c>
      <c r="N20" s="24">
        <v>183753</v>
      </c>
      <c r="O20" s="24">
        <v>100257</v>
      </c>
      <c r="P20" s="24">
        <v>4116800</v>
      </c>
      <c r="Q20" s="24">
        <v>3487100</v>
      </c>
      <c r="R20" s="24">
        <v>665550.58000701596</v>
      </c>
    </row>
    <row r="21" spans="1:20" ht="15" x14ac:dyDescent="0.25">
      <c r="A21" s="20">
        <v>2013</v>
      </c>
      <c r="B21" s="21">
        <f t="shared" si="2"/>
        <v>0.97848425236950154</v>
      </c>
      <c r="C21" s="25">
        <f t="shared" si="3"/>
        <v>-0.58546976361349934</v>
      </c>
      <c r="D21" s="25">
        <f t="shared" si="4"/>
        <v>-1.1527221236081076</v>
      </c>
      <c r="E21" s="25">
        <f t="shared" si="5"/>
        <v>-0.87287471850584408</v>
      </c>
      <c r="F21" s="47">
        <f t="shared" si="5"/>
        <v>0.30562235851123587</v>
      </c>
      <c r="G21" s="25">
        <f t="shared" si="6"/>
        <v>-1.2810031915753584</v>
      </c>
      <c r="H21" s="25">
        <f t="shared" si="7"/>
        <v>0.95926464949922519</v>
      </c>
      <c r="I21" s="26">
        <f t="shared" si="8"/>
        <v>0.6813993315913569</v>
      </c>
      <c r="J21" s="26">
        <f t="shared" si="8"/>
        <v>0.3186006684086431</v>
      </c>
      <c r="K21" s="22">
        <f t="shared" si="0"/>
        <v>0.67864457329419725</v>
      </c>
      <c r="L21" s="48">
        <f t="shared" si="1"/>
        <v>0.32135542670580275</v>
      </c>
      <c r="M21" s="23">
        <v>175160</v>
      </c>
      <c r="N21" s="24">
        <v>181647</v>
      </c>
      <c r="O21" s="24">
        <v>101098</v>
      </c>
      <c r="P21" s="24">
        <v>4064400</v>
      </c>
      <c r="Q21" s="24">
        <v>3456700</v>
      </c>
      <c r="R21" s="24">
        <v>671965.69119997998</v>
      </c>
    </row>
    <row r="22" spans="1:20" ht="15" x14ac:dyDescent="0.25">
      <c r="A22" s="20">
        <v>2014</v>
      </c>
      <c r="B22" s="21">
        <f t="shared" si="2"/>
        <v>0.97699242139199027</v>
      </c>
      <c r="C22" s="25">
        <f t="shared" si="3"/>
        <v>-0.15257980695462342</v>
      </c>
      <c r="D22" s="25">
        <f t="shared" si="4"/>
        <v>-0.43862260286626764</v>
      </c>
      <c r="E22" s="25">
        <f t="shared" si="5"/>
        <v>-0.54431249850882168</v>
      </c>
      <c r="F22" s="47">
        <f t="shared" si="5"/>
        <v>0.25826970259717746</v>
      </c>
      <c r="G22" s="25">
        <f t="shared" si="6"/>
        <v>-0.80532042654031244</v>
      </c>
      <c r="H22" s="25">
        <f t="shared" si="7"/>
        <v>0.79687183690797525</v>
      </c>
      <c r="I22" s="26">
        <f t="shared" si="8"/>
        <v>0.67589555730904427</v>
      </c>
      <c r="J22" s="26">
        <f t="shared" si="8"/>
        <v>0.32410444269095573</v>
      </c>
      <c r="K22" s="22">
        <f t="shared" si="0"/>
        <v>0.67314654132389129</v>
      </c>
      <c r="L22" s="48">
        <f t="shared" si="1"/>
        <v>0.32685345867610871</v>
      </c>
      <c r="M22" s="23">
        <v>177368</v>
      </c>
      <c r="N22" s="24">
        <v>180852</v>
      </c>
      <c r="O22" s="24">
        <v>101375</v>
      </c>
      <c r="P22" s="24">
        <v>4031800</v>
      </c>
      <c r="Q22" s="24">
        <v>3423300</v>
      </c>
      <c r="R22" s="24">
        <v>677341.78840039903</v>
      </c>
    </row>
    <row r="23" spans="1:20" ht="15" x14ac:dyDescent="0.25">
      <c r="A23" s="20">
        <v>2015</v>
      </c>
      <c r="B23" s="21">
        <f t="shared" si="2"/>
        <v>0.97603806446511143</v>
      </c>
      <c r="C23" s="25">
        <f t="shared" si="3"/>
        <v>-9.7730886409730461E-2</v>
      </c>
      <c r="D23" s="25">
        <f t="shared" si="4"/>
        <v>0.30585959834681375</v>
      </c>
      <c r="E23" s="25">
        <f t="shared" si="5"/>
        <v>0.14437702410104344</v>
      </c>
      <c r="F23" s="47">
        <f t="shared" si="5"/>
        <v>0.25921346065550077</v>
      </c>
      <c r="G23" s="25">
        <f t="shared" si="6"/>
        <v>0.21555203271788059</v>
      </c>
      <c r="H23" s="25">
        <f t="shared" si="7"/>
        <v>0.78502257235992801</v>
      </c>
      <c r="I23" s="26">
        <f t="shared" si="8"/>
        <v>0.66980126459771028</v>
      </c>
      <c r="J23" s="26">
        <f t="shared" si="8"/>
        <v>0.33019873540228978</v>
      </c>
      <c r="K23" s="22">
        <f t="shared" si="0"/>
        <v>0.66645598787152915</v>
      </c>
      <c r="L23" s="48">
        <f t="shared" si="1"/>
        <v>0.33354401212847085</v>
      </c>
      <c r="M23" s="23">
        <v>181406</v>
      </c>
      <c r="N23" s="24">
        <v>181406</v>
      </c>
      <c r="O23" s="24">
        <v>102572</v>
      </c>
      <c r="P23" s="24">
        <v>4040500</v>
      </c>
      <c r="Q23" s="24">
        <v>3428000</v>
      </c>
      <c r="R23" s="24">
        <v>682680</v>
      </c>
    </row>
    <row r="24" spans="1:20" ht="15" x14ac:dyDescent="0.25">
      <c r="A24" s="20">
        <v>2016</v>
      </c>
      <c r="B24" s="21">
        <f t="shared" si="2"/>
        <v>0.99075981174237182</v>
      </c>
      <c r="C24" s="25">
        <f t="shared" si="3"/>
        <v>1.4970549240708317</v>
      </c>
      <c r="D24" s="25">
        <f t="shared" si="4"/>
        <v>2.3028606074646518</v>
      </c>
      <c r="E24" s="25">
        <f t="shared" si="5"/>
        <v>0.35888023935986679</v>
      </c>
      <c r="F24" s="47">
        <f t="shared" si="5"/>
        <v>0.44692544403395329</v>
      </c>
      <c r="G24" s="25">
        <f t="shared" si="6"/>
        <v>0.54054852769116479</v>
      </c>
      <c r="H24" s="25">
        <f t="shared" si="7"/>
        <v>1.3298132160507237</v>
      </c>
      <c r="I24" s="26">
        <f t="shared" si="8"/>
        <v>0.66391863260223005</v>
      </c>
      <c r="J24" s="26">
        <f t="shared" si="8"/>
        <v>0.33608136739776995</v>
      </c>
      <c r="K24" s="22">
        <f t="shared" si="0"/>
        <v>0.66138127733293095</v>
      </c>
      <c r="L24" s="48">
        <f t="shared" si="1"/>
        <v>0.33861872266706905</v>
      </c>
      <c r="M24" s="23">
        <v>185593</v>
      </c>
      <c r="N24" s="24">
        <v>185632</v>
      </c>
      <c r="O24" s="24">
        <v>104283</v>
      </c>
      <c r="P24" s="24">
        <v>4062400</v>
      </c>
      <c r="Q24" s="24">
        <v>3451300</v>
      </c>
      <c r="R24" s="24">
        <v>691819</v>
      </c>
    </row>
    <row r="25" spans="1:20" ht="15" x14ac:dyDescent="0.25">
      <c r="A25" s="20">
        <v>2017</v>
      </c>
      <c r="B25" s="21">
        <f t="shared" si="2"/>
        <v>1.0206054822252619</v>
      </c>
      <c r="C25" s="25">
        <f t="shared" si="3"/>
        <v>2.9679204816495046</v>
      </c>
      <c r="D25" s="25">
        <f t="shared" si="4"/>
        <v>3.6844087958897376</v>
      </c>
      <c r="E25" s="25">
        <f t="shared" si="5"/>
        <v>0.13040744943991217</v>
      </c>
      <c r="F25" s="47">
        <f t="shared" si="5"/>
        <v>0.58608086480032084</v>
      </c>
      <c r="G25" s="25">
        <f t="shared" si="6"/>
        <v>0.20164767683645834</v>
      </c>
      <c r="H25" s="25">
        <f t="shared" si="7"/>
        <v>1.6589200953479377</v>
      </c>
      <c r="I25" s="26">
        <f t="shared" si="8"/>
        <v>0.6467094066532495</v>
      </c>
      <c r="J25" s="26">
        <f t="shared" si="8"/>
        <v>0.3532905933467505</v>
      </c>
      <c r="K25" s="22">
        <f t="shared" si="0"/>
        <v>0.63203753597356804</v>
      </c>
      <c r="L25" s="48">
        <f t="shared" si="1"/>
        <v>0.36796246402643196</v>
      </c>
      <c r="M25" s="23">
        <v>194113</v>
      </c>
      <c r="N25" s="24">
        <v>192599</v>
      </c>
      <c r="O25" s="24">
        <v>105061</v>
      </c>
      <c r="P25" s="24">
        <v>4070600</v>
      </c>
      <c r="Q25" s="24">
        <v>3485800</v>
      </c>
      <c r="R25" s="24">
        <v>703391.44785077695</v>
      </c>
    </row>
    <row r="26" spans="1:20" ht="15" x14ac:dyDescent="0.25">
      <c r="A26" s="20">
        <v>2018</v>
      </c>
      <c r="B26" s="21">
        <f t="shared" si="2"/>
        <v>1.0061297118070687</v>
      </c>
      <c r="C26" s="25">
        <f t="shared" si="3"/>
        <v>-1.4285059660472679</v>
      </c>
      <c r="D26" s="25">
        <f t="shared" si="4"/>
        <v>0.79280328163608971</v>
      </c>
      <c r="E26" s="25">
        <f t="shared" si="5"/>
        <v>1.5580414185486202</v>
      </c>
      <c r="F26" s="47">
        <f t="shared" si="5"/>
        <v>0.66326782913473747</v>
      </c>
      <c r="G26" s="25">
        <f t="shared" si="6"/>
        <v>2.4533217858570211</v>
      </c>
      <c r="H26" s="25">
        <f t="shared" si="7"/>
        <v>1.8175417159726592</v>
      </c>
      <c r="I26" s="26">
        <f t="shared" si="8"/>
        <v>0.6350742195868726</v>
      </c>
      <c r="J26" s="26">
        <f t="shared" si="8"/>
        <v>0.36492578041312745</v>
      </c>
      <c r="K26" s="22">
        <f t="shared" si="0"/>
        <v>0.63811090320017705</v>
      </c>
      <c r="L26" s="48">
        <f t="shared" si="1"/>
        <v>0.36188909679982295</v>
      </c>
      <c r="M26" s="23">
        <v>199751</v>
      </c>
      <c r="N26" s="24">
        <v>194132</v>
      </c>
      <c r="O26" s="24">
        <v>109146</v>
      </c>
      <c r="P26" s="24">
        <v>4171700</v>
      </c>
      <c r="Q26" s="24">
        <v>3572200</v>
      </c>
      <c r="R26" s="24">
        <v>716292.76913402497</v>
      </c>
    </row>
    <row r="27" spans="1:20" ht="15" x14ac:dyDescent="0.25">
      <c r="A27" s="20">
        <f>A26+1</f>
        <v>2019</v>
      </c>
      <c r="B27" s="21">
        <f t="shared" si="2"/>
        <v>1.0116129386928068</v>
      </c>
      <c r="C27" s="25">
        <f t="shared" si="3"/>
        <v>0.54350245131781727</v>
      </c>
      <c r="D27" s="25">
        <f t="shared" si="4"/>
        <v>1.6085699357121896</v>
      </c>
      <c r="E27" s="25">
        <f t="shared" si="5"/>
        <v>0.51045976175979424</v>
      </c>
      <c r="F27" s="47">
        <f t="shared" si="5"/>
        <v>0.55460772263457803</v>
      </c>
      <c r="G27" s="25">
        <f t="shared" si="6"/>
        <v>0.79982281243271558</v>
      </c>
      <c r="H27" s="25">
        <f t="shared" si="7"/>
        <v>1.5329804806899716</v>
      </c>
      <c r="I27" s="26">
        <f t="shared" si="8"/>
        <v>0.63821605713795049</v>
      </c>
      <c r="J27" s="26">
        <f t="shared" si="8"/>
        <v>0.36178394286204957</v>
      </c>
      <c r="K27" s="22">
        <f t="shared" si="0"/>
        <v>0.63832121107572382</v>
      </c>
      <c r="L27" s="48">
        <f t="shared" si="1"/>
        <v>0.36167878892427618</v>
      </c>
      <c r="M27" s="23">
        <v>205950</v>
      </c>
      <c r="N27" s="24">
        <v>197280</v>
      </c>
      <c r="O27" s="24">
        <v>112627</v>
      </c>
      <c r="P27" s="24">
        <v>4205200</v>
      </c>
      <c r="Q27" s="24">
        <v>3602700</v>
      </c>
      <c r="R27" s="24">
        <v>727357.99464723503</v>
      </c>
    </row>
    <row r="28" spans="1:20" ht="15" x14ac:dyDescent="0.25">
      <c r="A28" s="20">
        <f t="shared" ref="A28:A30" si="9">A27+1</f>
        <v>2020</v>
      </c>
      <c r="B28" s="21">
        <v>1</v>
      </c>
      <c r="C28" s="25">
        <f t="shared" si="3"/>
        <v>-1.1546026056913927</v>
      </c>
      <c r="D28" s="25">
        <f t="shared" si="4"/>
        <v>-2.4579835089490132</v>
      </c>
      <c r="E28" s="25">
        <f t="shared" si="5"/>
        <v>-1.8210292051128194</v>
      </c>
      <c r="F28" s="47">
        <f t="shared" si="5"/>
        <v>0.51764830185519894</v>
      </c>
      <c r="G28" s="25">
        <f t="shared" si="6"/>
        <v>-2.8706411895964123</v>
      </c>
      <c r="H28" s="25">
        <f t="shared" si="7"/>
        <v>1.4157446361107162</v>
      </c>
      <c r="I28" s="26">
        <f t="shared" si="8"/>
        <v>0.63436322578818727</v>
      </c>
      <c r="J28" s="26">
        <f t="shared" si="8"/>
        <v>0.36563677421181273</v>
      </c>
      <c r="K28" s="22">
        <f t="shared" si="0"/>
        <v>0.63040524050065072</v>
      </c>
      <c r="L28" s="48">
        <f t="shared" si="1"/>
        <v>0.36959475949934928</v>
      </c>
      <c r="M28" s="23">
        <v>204507</v>
      </c>
      <c r="N28" s="24">
        <v>192490</v>
      </c>
      <c r="O28" s="24">
        <v>110869</v>
      </c>
      <c r="P28" s="24">
        <v>4086200</v>
      </c>
      <c r="Q28" s="24">
        <v>3514000</v>
      </c>
      <c r="R28" s="24">
        <v>737728.76503446104</v>
      </c>
    </row>
    <row r="29" spans="1:20" ht="15" x14ac:dyDescent="0.25">
      <c r="A29" s="20">
        <f t="shared" si="9"/>
        <v>2021</v>
      </c>
      <c r="B29" s="21">
        <f>B28*EXP(C29/100)</f>
        <v>1.0082853068735418</v>
      </c>
      <c r="C29" s="25">
        <f t="shared" si="3"/>
        <v>0.82511721334714194</v>
      </c>
      <c r="D29" s="25">
        <f t="shared" si="4"/>
        <v>2.7151545680982991</v>
      </c>
      <c r="E29" s="25">
        <f t="shared" si="5"/>
        <v>1.3622997759038833</v>
      </c>
      <c r="F29" s="47">
        <f t="shared" si="5"/>
        <v>0.5277375788472739</v>
      </c>
      <c r="G29" s="25">
        <f t="shared" si="6"/>
        <v>2.1474963096579813</v>
      </c>
      <c r="H29" s="25">
        <f t="shared" si="7"/>
        <v>1.4433513831548339</v>
      </c>
      <c r="I29" s="26">
        <f t="shared" si="8"/>
        <v>0.63436652709351971</v>
      </c>
      <c r="J29" s="26">
        <f t="shared" si="8"/>
        <v>0.36563347290648035</v>
      </c>
      <c r="K29" s="22">
        <f t="shared" si="0"/>
        <v>0.63832781368638858</v>
      </c>
      <c r="L29" s="48">
        <f t="shared" si="1"/>
        <v>0.36167218631361142</v>
      </c>
      <c r="M29" s="23">
        <v>215307</v>
      </c>
      <c r="N29" s="24">
        <v>197788</v>
      </c>
      <c r="O29" s="24">
        <v>118106</v>
      </c>
      <c r="P29" s="24">
        <v>4174900</v>
      </c>
      <c r="Q29" s="24">
        <v>3587700</v>
      </c>
      <c r="R29" s="24">
        <v>748453.99857679894</v>
      </c>
    </row>
    <row r="30" spans="1:20" ht="15" x14ac:dyDescent="0.25">
      <c r="A30" s="20">
        <f t="shared" si="9"/>
        <v>2022</v>
      </c>
      <c r="B30" s="27">
        <f t="shared" ref="B30" si="10">B29*EXP(C30/100)</f>
        <v>0.99773859423586508</v>
      </c>
      <c r="C30" s="28">
        <f t="shared" si="3"/>
        <v>-1.0515138737081298</v>
      </c>
      <c r="D30" s="25">
        <f t="shared" si="4"/>
        <v>1.0696526202412571</v>
      </c>
      <c r="E30" s="28">
        <f t="shared" si="5"/>
        <v>1.5973935481320383</v>
      </c>
      <c r="F30" s="51">
        <f t="shared" si="5"/>
        <v>0.52377294581734868</v>
      </c>
      <c r="G30" s="25">
        <f t="shared" si="6"/>
        <v>2.5189652990830425</v>
      </c>
      <c r="H30" s="25">
        <f t="shared" si="7"/>
        <v>1.4316474802432921</v>
      </c>
      <c r="I30" s="26">
        <f t="shared" si="8"/>
        <v>0.63414670647250437</v>
      </c>
      <c r="J30" s="26">
        <f t="shared" si="8"/>
        <v>0.36585329352749563</v>
      </c>
      <c r="K30" s="22">
        <f t="shared" si="0"/>
        <v>0.62996559925862017</v>
      </c>
      <c r="L30" s="48">
        <f t="shared" si="1"/>
        <v>0.37003440074137983</v>
      </c>
      <c r="M30" s="23">
        <v>231139</v>
      </c>
      <c r="N30" s="23">
        <v>199915</v>
      </c>
      <c r="O30" s="23">
        <v>126139</v>
      </c>
      <c r="P30" s="24">
        <v>4281400</v>
      </c>
      <c r="Q30" s="24">
        <v>3708900</v>
      </c>
      <c r="R30" s="24">
        <v>759246.29084533802</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2F04-881F-43FA-8211-63F9E8B22EB3}">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81</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0.56808956333995697</v>
      </c>
      <c r="L9" s="48">
        <f t="shared" ref="L9:L30" si="1">1-K9</f>
        <v>0.43191043666004303</v>
      </c>
      <c r="M9" s="23">
        <v>2225546</v>
      </c>
      <c r="N9" s="24">
        <v>2784134.9976950102</v>
      </c>
      <c r="O9" s="24">
        <v>1160957</v>
      </c>
      <c r="P9" s="24">
        <v>7189450</v>
      </c>
      <c r="Q9" s="24">
        <v>6601740</v>
      </c>
      <c r="R9" s="24">
        <v>9525332.7909836899</v>
      </c>
    </row>
    <row r="10" spans="1:18" ht="15" x14ac:dyDescent="0.25">
      <c r="A10" s="20">
        <v>2002</v>
      </c>
      <c r="B10" s="21">
        <f t="shared" ref="B10:B27" si="2">B11*EXP(-C11/100)</f>
        <v>0.90076657311060093</v>
      </c>
      <c r="C10" s="25">
        <f t="shared" ref="C10:C30" si="3">D10-E10-F10</f>
        <v>2.0114146586645245</v>
      </c>
      <c r="D10" s="25">
        <f t="shared" ref="D10:D30" si="4">(LN(N10)-LN(N9))*100</f>
        <v>2.1989525168287116</v>
      </c>
      <c r="E10" s="25">
        <f t="shared" ref="E10:F30" si="5">I10*G10</f>
        <v>-0.78454964877484012</v>
      </c>
      <c r="F10" s="47">
        <f t="shared" si="5"/>
        <v>0.97208750693902746</v>
      </c>
      <c r="G10" s="25">
        <f t="shared" ref="G10:G30" si="6">(LN(P10)-LN(P9))*100</f>
        <v>-1.3840479532648331</v>
      </c>
      <c r="H10" s="25">
        <f t="shared" ref="H10:H30" si="7">(LN(R10)-LN(R9))*100</f>
        <v>2.244236079229367</v>
      </c>
      <c r="I10" s="26">
        <f t="shared" ref="I10:J30" si="8">(K10+K9)/2</f>
        <v>0.56685149306002336</v>
      </c>
      <c r="J10" s="26">
        <f t="shared" si="8"/>
        <v>0.43314850693997664</v>
      </c>
      <c r="K10" s="22">
        <f t="shared" si="0"/>
        <v>0.56561342278008975</v>
      </c>
      <c r="L10" s="48">
        <f t="shared" si="1"/>
        <v>0.43438657721991025</v>
      </c>
      <c r="M10" s="23">
        <v>2309636</v>
      </c>
      <c r="N10" s="24">
        <v>2846034.8846277399</v>
      </c>
      <c r="O10" s="24">
        <v>1200839</v>
      </c>
      <c r="P10" s="24">
        <v>7090630</v>
      </c>
      <c r="Q10" s="24">
        <v>6517880</v>
      </c>
      <c r="R10" s="24">
        <v>9741520.5543612801</v>
      </c>
    </row>
    <row r="11" spans="1:18" ht="15" x14ac:dyDescent="0.25">
      <c r="A11" s="20">
        <v>2003</v>
      </c>
      <c r="B11" s="21">
        <f t="shared" si="2"/>
        <v>0.91707856232498475</v>
      </c>
      <c r="C11" s="25">
        <f t="shared" si="3"/>
        <v>1.7946993093785819</v>
      </c>
      <c r="D11" s="25">
        <f t="shared" si="4"/>
        <v>1.9171638817095271</v>
      </c>
      <c r="E11" s="25">
        <f t="shared" si="5"/>
        <v>-0.79390049747293634</v>
      </c>
      <c r="F11" s="47">
        <f t="shared" si="5"/>
        <v>0.91636506980388155</v>
      </c>
      <c r="G11" s="25">
        <f t="shared" si="6"/>
        <v>-1.4064765663482248</v>
      </c>
      <c r="H11" s="25">
        <f t="shared" si="7"/>
        <v>2.1039770607846009</v>
      </c>
      <c r="I11" s="26">
        <f t="shared" si="8"/>
        <v>0.56446052246303635</v>
      </c>
      <c r="J11" s="26">
        <f t="shared" si="8"/>
        <v>0.4355394775369637</v>
      </c>
      <c r="K11" s="22">
        <f t="shared" si="0"/>
        <v>0.56330762214598284</v>
      </c>
      <c r="L11" s="48">
        <f t="shared" si="1"/>
        <v>0.43669237785401716</v>
      </c>
      <c r="M11" s="23">
        <v>2396191</v>
      </c>
      <c r="N11" s="24">
        <v>2901124.42857177</v>
      </c>
      <c r="O11" s="24">
        <v>1242083</v>
      </c>
      <c r="P11" s="24">
        <v>6991600</v>
      </c>
      <c r="Q11" s="24">
        <v>6433690</v>
      </c>
      <c r="R11" s="24">
        <v>9948651.2626341693</v>
      </c>
    </row>
    <row r="12" spans="1:18" ht="15" x14ac:dyDescent="0.25">
      <c r="A12" s="20">
        <v>2004</v>
      </c>
      <c r="B12" s="21">
        <f t="shared" si="2"/>
        <v>0.94595613237347931</v>
      </c>
      <c r="C12" s="25">
        <f t="shared" si="3"/>
        <v>3.1003054491089514</v>
      </c>
      <c r="D12" s="25">
        <f t="shared" si="4"/>
        <v>4.4091290263580163</v>
      </c>
      <c r="E12" s="25">
        <f t="shared" si="5"/>
        <v>0.51097915494944457</v>
      </c>
      <c r="F12" s="47">
        <f t="shared" si="5"/>
        <v>0.79784442229962027</v>
      </c>
      <c r="G12" s="25">
        <f t="shared" si="6"/>
        <v>0.91263723150198928</v>
      </c>
      <c r="H12" s="25">
        <f t="shared" si="7"/>
        <v>1.8128417359026372</v>
      </c>
      <c r="I12" s="26">
        <f t="shared" si="8"/>
        <v>0.55989295342300616</v>
      </c>
      <c r="J12" s="26">
        <f t="shared" si="8"/>
        <v>0.44010704657699379</v>
      </c>
      <c r="K12" s="22">
        <f t="shared" si="0"/>
        <v>0.55647828470002958</v>
      </c>
      <c r="L12" s="48">
        <f t="shared" si="1"/>
        <v>0.44352171529997042</v>
      </c>
      <c r="M12" s="23">
        <v>2511042</v>
      </c>
      <c r="N12" s="24">
        <v>3031900.6075655199</v>
      </c>
      <c r="O12" s="24">
        <v>1282750</v>
      </c>
      <c r="P12" s="24">
        <v>7055700</v>
      </c>
      <c r="Q12" s="24">
        <v>6477090</v>
      </c>
      <c r="R12" s="24">
        <v>10130649.2483206</v>
      </c>
    </row>
    <row r="13" spans="1:18" ht="15" x14ac:dyDescent="0.25">
      <c r="A13" s="20">
        <v>2005</v>
      </c>
      <c r="B13" s="21">
        <f t="shared" si="2"/>
        <v>0.96301180156090815</v>
      </c>
      <c r="C13" s="25">
        <f t="shared" si="3"/>
        <v>1.7869470440331643</v>
      </c>
      <c r="D13" s="25">
        <f t="shared" si="4"/>
        <v>2.5972366351252774</v>
      </c>
      <c r="E13" s="25">
        <f t="shared" si="5"/>
        <v>-5.4167908622255991E-2</v>
      </c>
      <c r="F13" s="47">
        <f t="shared" si="5"/>
        <v>0.86445749971436925</v>
      </c>
      <c r="G13" s="25">
        <f t="shared" si="6"/>
        <v>-9.7131784261961229E-2</v>
      </c>
      <c r="H13" s="25">
        <f t="shared" si="7"/>
        <v>1.9543464856390358</v>
      </c>
      <c r="I13" s="26">
        <f t="shared" si="8"/>
        <v>0.55767439086846093</v>
      </c>
      <c r="J13" s="26">
        <f t="shared" si="8"/>
        <v>0.44232560913153912</v>
      </c>
      <c r="K13" s="22">
        <f t="shared" si="0"/>
        <v>0.55887049703689218</v>
      </c>
      <c r="L13" s="48">
        <f t="shared" si="1"/>
        <v>0.44112950296310782</v>
      </c>
      <c r="M13" s="23">
        <v>2590823</v>
      </c>
      <c r="N13" s="24">
        <v>3111677.7570477701</v>
      </c>
      <c r="O13" s="24">
        <v>1326812</v>
      </c>
      <c r="P13" s="24">
        <v>7048850</v>
      </c>
      <c r="Q13" s="24">
        <v>6459200</v>
      </c>
      <c r="R13" s="24">
        <v>10330584.5868233</v>
      </c>
    </row>
    <row r="14" spans="1:18" ht="15" x14ac:dyDescent="0.25">
      <c r="A14" s="20">
        <v>2006</v>
      </c>
      <c r="B14" s="21">
        <f t="shared" si="2"/>
        <v>0.99103393944870599</v>
      </c>
      <c r="C14" s="25">
        <f t="shared" si="3"/>
        <v>2.8683114702571344</v>
      </c>
      <c r="D14" s="25">
        <f t="shared" si="4"/>
        <v>4.7694522899050185</v>
      </c>
      <c r="E14" s="25">
        <f t="shared" si="5"/>
        <v>0.98370620224035421</v>
      </c>
      <c r="F14" s="47">
        <f t="shared" si="5"/>
        <v>0.91743461740753007</v>
      </c>
      <c r="G14" s="25">
        <f t="shared" si="6"/>
        <v>1.7760578097425039</v>
      </c>
      <c r="H14" s="25">
        <f t="shared" si="7"/>
        <v>2.0564316418962392</v>
      </c>
      <c r="I14" s="26">
        <f t="shared" si="8"/>
        <v>0.55387059860566912</v>
      </c>
      <c r="J14" s="26">
        <f t="shared" si="8"/>
        <v>0.44612940139433083</v>
      </c>
      <c r="K14" s="22">
        <f t="shared" si="0"/>
        <v>0.54887070017444617</v>
      </c>
      <c r="L14" s="48">
        <f t="shared" si="1"/>
        <v>0.45112929982555383</v>
      </c>
      <c r="M14" s="23">
        <v>2763937</v>
      </c>
      <c r="N14" s="24">
        <v>3263683.8585439702</v>
      </c>
      <c r="O14" s="24">
        <v>1392738</v>
      </c>
      <c r="P14" s="24">
        <v>7175160</v>
      </c>
      <c r="Q14" s="24">
        <v>6587230</v>
      </c>
      <c r="R14" s="24">
        <v>10545225.4038103</v>
      </c>
    </row>
    <row r="15" spans="1:18" ht="15" x14ac:dyDescent="0.25">
      <c r="A15" s="20">
        <v>2007</v>
      </c>
      <c r="B15" s="21">
        <f t="shared" si="2"/>
        <v>0.99507159970702874</v>
      </c>
      <c r="C15" s="25">
        <f t="shared" si="3"/>
        <v>0.4065912652827488</v>
      </c>
      <c r="D15" s="25">
        <f t="shared" si="4"/>
        <v>3.160151700760494</v>
      </c>
      <c r="E15" s="25">
        <f t="shared" si="5"/>
        <v>1.6953912037254126</v>
      </c>
      <c r="F15" s="47">
        <f t="shared" si="5"/>
        <v>1.0581692317523326</v>
      </c>
      <c r="G15" s="25">
        <f t="shared" si="6"/>
        <v>3.0650864285588497</v>
      </c>
      <c r="H15" s="25">
        <f t="shared" si="7"/>
        <v>2.3679575518393392</v>
      </c>
      <c r="I15" s="26">
        <f t="shared" si="8"/>
        <v>0.55312998287051762</v>
      </c>
      <c r="J15" s="26">
        <f t="shared" si="8"/>
        <v>0.44687001712948232</v>
      </c>
      <c r="K15" s="22">
        <f t="shared" si="0"/>
        <v>0.55738926556658919</v>
      </c>
      <c r="L15" s="48">
        <f t="shared" si="1"/>
        <v>0.44261073443341081</v>
      </c>
      <c r="M15" s="23">
        <v>2936583</v>
      </c>
      <c r="N15" s="24">
        <v>3368468.1709789899</v>
      </c>
      <c r="O15" s="24">
        <v>1503571</v>
      </c>
      <c r="P15" s="24">
        <v>7398490</v>
      </c>
      <c r="Q15" s="24">
        <v>6796200</v>
      </c>
      <c r="R15" s="24">
        <v>10797911.811422501</v>
      </c>
    </row>
    <row r="16" spans="1:18" ht="15" x14ac:dyDescent="0.25">
      <c r="A16" s="20">
        <v>2008</v>
      </c>
      <c r="B16" s="21">
        <f t="shared" si="2"/>
        <v>0.96586925420737191</v>
      </c>
      <c r="C16" s="25">
        <f t="shared" si="3"/>
        <v>-2.9786216633396014</v>
      </c>
      <c r="D16" s="25">
        <f t="shared" si="4"/>
        <v>-0.96264488533694959</v>
      </c>
      <c r="E16" s="25">
        <f t="shared" si="5"/>
        <v>0.77226095341970147</v>
      </c>
      <c r="F16" s="47">
        <f t="shared" si="5"/>
        <v>1.24371582458295</v>
      </c>
      <c r="G16" s="25">
        <f t="shared" si="6"/>
        <v>1.3708425234012722</v>
      </c>
      <c r="H16" s="25">
        <f t="shared" si="7"/>
        <v>2.8482977506605778</v>
      </c>
      <c r="I16" s="26">
        <f t="shared" si="8"/>
        <v>0.56334767869879221</v>
      </c>
      <c r="J16" s="26">
        <f t="shared" si="8"/>
        <v>0.43665232130120779</v>
      </c>
      <c r="K16" s="22">
        <f t="shared" si="0"/>
        <v>0.56930609183099523</v>
      </c>
      <c r="L16" s="48">
        <f t="shared" si="1"/>
        <v>0.43069390816900477</v>
      </c>
      <c r="M16" s="23">
        <v>3001336</v>
      </c>
      <c r="N16" s="24">
        <v>3336197.3602781501</v>
      </c>
      <c r="O16" s="24">
        <v>1580650</v>
      </c>
      <c r="P16" s="24">
        <v>7500610</v>
      </c>
      <c r="Q16" s="24">
        <v>6938600</v>
      </c>
      <c r="R16" s="24">
        <v>11109890.4392347</v>
      </c>
    </row>
    <row r="17" spans="1:20" ht="15" x14ac:dyDescent="0.25">
      <c r="A17" s="20">
        <v>2009</v>
      </c>
      <c r="B17" s="21">
        <f t="shared" si="2"/>
        <v>0.92752096281723051</v>
      </c>
      <c r="C17" s="25">
        <f t="shared" si="3"/>
        <v>-4.0513081794410617</v>
      </c>
      <c r="D17" s="25">
        <f t="shared" si="4"/>
        <v>-4.6798799386079892</v>
      </c>
      <c r="E17" s="25">
        <f t="shared" si="5"/>
        <v>-1.7292683933558355</v>
      </c>
      <c r="F17" s="47">
        <f t="shared" si="5"/>
        <v>1.1006966341889075</v>
      </c>
      <c r="G17" s="25">
        <f t="shared" si="6"/>
        <v>-2.9986738995340545</v>
      </c>
      <c r="H17" s="25">
        <f t="shared" si="7"/>
        <v>2.6001386099107293</v>
      </c>
      <c r="I17" s="26">
        <f t="shared" si="8"/>
        <v>0.57667770864465651</v>
      </c>
      <c r="J17" s="26">
        <f t="shared" si="8"/>
        <v>0.42332229135534349</v>
      </c>
      <c r="K17" s="22">
        <f t="shared" si="0"/>
        <v>0.58404932545831778</v>
      </c>
      <c r="L17" s="48">
        <f t="shared" si="1"/>
        <v>0.41595067454168222</v>
      </c>
      <c r="M17" s="23">
        <v>2930639</v>
      </c>
      <c r="N17" s="24">
        <v>3183664.3481012699</v>
      </c>
      <c r="O17" s="24">
        <v>1579643</v>
      </c>
      <c r="P17" s="24">
        <v>7279030</v>
      </c>
      <c r="Q17" s="24">
        <v>6717700</v>
      </c>
      <c r="R17" s="24">
        <v>11402551.2958954</v>
      </c>
    </row>
    <row r="18" spans="1:20" ht="15" x14ac:dyDescent="0.25">
      <c r="A18" s="20">
        <v>2010</v>
      </c>
      <c r="B18" s="21">
        <f t="shared" si="2"/>
        <v>0.96328974616593621</v>
      </c>
      <c r="C18" s="25">
        <f t="shared" si="3"/>
        <v>3.7838849573821722</v>
      </c>
      <c r="D18" s="25">
        <f t="shared" si="4"/>
        <v>5.7483683888484904</v>
      </c>
      <c r="E18" s="25">
        <f t="shared" si="5"/>
        <v>1.3563444271659395</v>
      </c>
      <c r="F18" s="47">
        <f t="shared" si="5"/>
        <v>0.60813900430037815</v>
      </c>
      <c r="G18" s="25">
        <f t="shared" si="6"/>
        <v>2.3636466815101898</v>
      </c>
      <c r="H18" s="25">
        <f t="shared" si="7"/>
        <v>1.4270053831531015</v>
      </c>
      <c r="I18" s="26">
        <f t="shared" si="8"/>
        <v>0.5738355219399115</v>
      </c>
      <c r="J18" s="26">
        <f t="shared" si="8"/>
        <v>0.4261644780600885</v>
      </c>
      <c r="K18" s="22">
        <f t="shared" si="0"/>
        <v>0.56362171842150521</v>
      </c>
      <c r="L18" s="48">
        <f t="shared" si="1"/>
        <v>0.43637828157849479</v>
      </c>
      <c r="M18" s="23">
        <v>3131175</v>
      </c>
      <c r="N18" s="24">
        <v>3372035.3652635701</v>
      </c>
      <c r="O18" s="24">
        <v>1629617</v>
      </c>
      <c r="P18" s="24">
        <v>7453130</v>
      </c>
      <c r="Q18" s="24">
        <v>6882230</v>
      </c>
      <c r="R18" s="24">
        <v>11566432.8349122</v>
      </c>
    </row>
    <row r="19" spans="1:20" ht="15" x14ac:dyDescent="0.25">
      <c r="A19" s="20">
        <v>2011</v>
      </c>
      <c r="B19" s="21">
        <f t="shared" si="2"/>
        <v>0.97833442767082346</v>
      </c>
      <c r="C19" s="25">
        <f t="shared" si="3"/>
        <v>1.5497316946506865</v>
      </c>
      <c r="D19" s="25">
        <f t="shared" si="4"/>
        <v>3.5764549632071763</v>
      </c>
      <c r="E19" s="25">
        <f t="shared" si="5"/>
        <v>1.3219962414455941</v>
      </c>
      <c r="F19" s="47">
        <f t="shared" si="5"/>
        <v>0.70472702711089563</v>
      </c>
      <c r="G19" s="25">
        <f t="shared" si="6"/>
        <v>2.3375126856963746</v>
      </c>
      <c r="H19" s="25">
        <f t="shared" si="7"/>
        <v>1.622138543546825</v>
      </c>
      <c r="I19" s="26">
        <f t="shared" si="8"/>
        <v>0.56555682009133346</v>
      </c>
      <c r="J19" s="26">
        <f t="shared" si="8"/>
        <v>0.43444317990866654</v>
      </c>
      <c r="K19" s="22">
        <f t="shared" si="0"/>
        <v>0.5674919217611617</v>
      </c>
      <c r="L19" s="48">
        <f t="shared" si="1"/>
        <v>0.4325080782388383</v>
      </c>
      <c r="M19" s="23">
        <v>3280377</v>
      </c>
      <c r="N19" s="24">
        <v>3494817.22309514</v>
      </c>
      <c r="O19" s="24">
        <v>1726103</v>
      </c>
      <c r="P19" s="24">
        <v>7629400</v>
      </c>
      <c r="Q19" s="24">
        <v>7074140</v>
      </c>
      <c r="R19" s="24">
        <v>11755586.418937501</v>
      </c>
    </row>
    <row r="20" spans="1:20" ht="15" x14ac:dyDescent="0.25">
      <c r="A20" s="20">
        <v>2012</v>
      </c>
      <c r="B20" s="21">
        <f t="shared" si="2"/>
        <v>0.96661564993513749</v>
      </c>
      <c r="C20" s="25">
        <f t="shared" si="3"/>
        <v>-1.205061218211593</v>
      </c>
      <c r="D20" s="25">
        <f t="shared" si="4"/>
        <v>-0.39916524373673212</v>
      </c>
      <c r="E20" s="25">
        <f t="shared" si="5"/>
        <v>-6.6785931644553514E-2</v>
      </c>
      <c r="F20" s="47">
        <f t="shared" si="5"/>
        <v>0.87268190611941421</v>
      </c>
      <c r="G20" s="25">
        <f t="shared" si="6"/>
        <v>-0.11580351944004974</v>
      </c>
      <c r="H20" s="25">
        <f t="shared" si="7"/>
        <v>2.0617015366383384</v>
      </c>
      <c r="I20" s="26">
        <f t="shared" si="8"/>
        <v>0.5767176331728664</v>
      </c>
      <c r="J20" s="26">
        <f t="shared" si="8"/>
        <v>0.4232823668271336</v>
      </c>
      <c r="K20" s="22">
        <f t="shared" si="0"/>
        <v>0.58594334458457109</v>
      </c>
      <c r="L20" s="48">
        <f t="shared" si="1"/>
        <v>0.41405665541542891</v>
      </c>
      <c r="M20" s="23">
        <v>3302118</v>
      </c>
      <c r="N20" s="24">
        <v>3480894.9323669299</v>
      </c>
      <c r="O20" s="24">
        <v>1797444</v>
      </c>
      <c r="P20" s="24">
        <v>7620570</v>
      </c>
      <c r="Q20" s="24">
        <v>7079370</v>
      </c>
      <c r="R20" s="24">
        <v>12000467.206203399</v>
      </c>
    </row>
    <row r="21" spans="1:20" ht="15" x14ac:dyDescent="0.25">
      <c r="A21" s="20">
        <v>2013</v>
      </c>
      <c r="B21" s="21">
        <f t="shared" si="2"/>
        <v>0.96764013314852804</v>
      </c>
      <c r="C21" s="25">
        <f t="shared" si="3"/>
        <v>0.10593048945753192</v>
      </c>
      <c r="D21" s="25">
        <f t="shared" si="4"/>
        <v>1.0965587102322871</v>
      </c>
      <c r="E21" s="25">
        <f t="shared" si="5"/>
        <v>0.24893577955852114</v>
      </c>
      <c r="F21" s="47">
        <f t="shared" si="5"/>
        <v>0.74169244121623401</v>
      </c>
      <c r="G21" s="25">
        <f t="shared" si="6"/>
        <v>0.42347976140071353</v>
      </c>
      <c r="H21" s="25">
        <f t="shared" si="7"/>
        <v>1.7994990988743353</v>
      </c>
      <c r="I21" s="26">
        <f t="shared" si="8"/>
        <v>0.587833946857659</v>
      </c>
      <c r="J21" s="26">
        <f t="shared" si="8"/>
        <v>0.412166053142341</v>
      </c>
      <c r="K21" s="22">
        <f t="shared" si="0"/>
        <v>0.5897245491307469</v>
      </c>
      <c r="L21" s="48">
        <f t="shared" si="1"/>
        <v>0.4102754508692531</v>
      </c>
      <c r="M21" s="23">
        <v>3372723</v>
      </c>
      <c r="N21" s="24">
        <v>3519275.0345375398</v>
      </c>
      <c r="O21" s="24">
        <v>1852006</v>
      </c>
      <c r="P21" s="24">
        <v>7652910</v>
      </c>
      <c r="Q21" s="24">
        <v>7125890</v>
      </c>
      <c r="R21" s="24">
        <v>12218370.206629001</v>
      </c>
    </row>
    <row r="22" spans="1:20" ht="15" x14ac:dyDescent="0.25">
      <c r="A22" s="20">
        <v>2014</v>
      </c>
      <c r="B22" s="21">
        <f t="shared" si="2"/>
        <v>0.97468888744637872</v>
      </c>
      <c r="C22" s="25">
        <f t="shared" si="3"/>
        <v>0.72580754001146897</v>
      </c>
      <c r="D22" s="25">
        <f t="shared" si="4"/>
        <v>2.3202588197241525</v>
      </c>
      <c r="E22" s="25">
        <f t="shared" si="5"/>
        <v>0.88784748494545596</v>
      </c>
      <c r="F22" s="47">
        <f t="shared" si="5"/>
        <v>0.70660379476722746</v>
      </c>
      <c r="G22" s="25">
        <f t="shared" si="6"/>
        <v>1.5091528328756709</v>
      </c>
      <c r="H22" s="25">
        <f t="shared" si="7"/>
        <v>1.7163430544194114</v>
      </c>
      <c r="I22" s="26">
        <f t="shared" si="8"/>
        <v>0.58830853019284612</v>
      </c>
      <c r="J22" s="26">
        <f t="shared" si="8"/>
        <v>0.41169146980715393</v>
      </c>
      <c r="K22" s="22">
        <f t="shared" si="0"/>
        <v>0.58689251125494524</v>
      </c>
      <c r="L22" s="48">
        <f t="shared" si="1"/>
        <v>0.41310748874505476</v>
      </c>
      <c r="M22" s="23">
        <v>3518784</v>
      </c>
      <c r="N22" s="24">
        <v>3601886.0119907102</v>
      </c>
      <c r="O22" s="24">
        <v>1924261</v>
      </c>
      <c r="P22" s="24">
        <v>7769280</v>
      </c>
      <c r="Q22" s="24">
        <v>7239250</v>
      </c>
      <c r="R22" s="24">
        <v>12429889.3597038</v>
      </c>
    </row>
    <row r="23" spans="1:20" ht="15" x14ac:dyDescent="0.25">
      <c r="A23" s="20">
        <v>2015</v>
      </c>
      <c r="B23" s="21">
        <f t="shared" si="2"/>
        <v>0.99952522633618357</v>
      </c>
      <c r="C23" s="25">
        <f t="shared" si="3"/>
        <v>2.5162062298339825</v>
      </c>
      <c r="D23" s="25">
        <f t="shared" si="4"/>
        <v>4.1912668924769747</v>
      </c>
      <c r="E23" s="25">
        <f t="shared" si="5"/>
        <v>0.92604519476954184</v>
      </c>
      <c r="F23" s="47">
        <f t="shared" si="5"/>
        <v>0.74901546787345019</v>
      </c>
      <c r="G23" s="25">
        <f t="shared" si="6"/>
        <v>1.5977418079501149</v>
      </c>
      <c r="H23" s="25">
        <f t="shared" si="7"/>
        <v>1.7816575286214942</v>
      </c>
      <c r="I23" s="26">
        <f t="shared" si="8"/>
        <v>0.57959627153879612</v>
      </c>
      <c r="J23" s="26">
        <f t="shared" si="8"/>
        <v>0.42040372846120388</v>
      </c>
      <c r="K23" s="22">
        <f t="shared" si="0"/>
        <v>0.57230003182264699</v>
      </c>
      <c r="L23" s="48">
        <f t="shared" si="1"/>
        <v>0.42769996817735301</v>
      </c>
      <c r="M23" s="23">
        <v>3756059</v>
      </c>
      <c r="N23" s="24">
        <v>3756059</v>
      </c>
      <c r="O23" s="24">
        <v>2008485</v>
      </c>
      <c r="P23" s="24">
        <v>7894410</v>
      </c>
      <c r="Q23" s="24">
        <v>7376190</v>
      </c>
      <c r="R23" s="24">
        <v>12653332</v>
      </c>
    </row>
    <row r="24" spans="1:20" ht="15" x14ac:dyDescent="0.25">
      <c r="A24" s="20">
        <v>2016</v>
      </c>
      <c r="B24" s="21">
        <f t="shared" si="2"/>
        <v>0.99325105109592826</v>
      </c>
      <c r="C24" s="25">
        <f t="shared" si="3"/>
        <v>-0.62969396444287606</v>
      </c>
      <c r="D24" s="25">
        <f t="shared" si="4"/>
        <v>1.7499167913866742</v>
      </c>
      <c r="E24" s="25">
        <f t="shared" si="5"/>
        <v>1.5632997185006432</v>
      </c>
      <c r="F24" s="47">
        <f t="shared" si="5"/>
        <v>0.81631103732890709</v>
      </c>
      <c r="G24" s="25">
        <f t="shared" si="6"/>
        <v>2.7208023729318853</v>
      </c>
      <c r="H24" s="25">
        <f t="shared" si="7"/>
        <v>1.9188042454263865</v>
      </c>
      <c r="I24" s="26">
        <f t="shared" si="8"/>
        <v>0.57457305023446481</v>
      </c>
      <c r="J24" s="26">
        <f t="shared" si="8"/>
        <v>0.42542694976553524</v>
      </c>
      <c r="K24" s="22">
        <f t="shared" si="0"/>
        <v>0.57684606864628252</v>
      </c>
      <c r="L24" s="48">
        <f t="shared" si="1"/>
        <v>0.42315393135371748</v>
      </c>
      <c r="M24" s="23">
        <v>3885378</v>
      </c>
      <c r="N24" s="24">
        <v>3822365.3682470298</v>
      </c>
      <c r="O24" s="24">
        <v>2106123</v>
      </c>
      <c r="P24" s="24">
        <v>8112150</v>
      </c>
      <c r="Q24" s="24">
        <v>7623010</v>
      </c>
      <c r="R24" s="24">
        <v>12898469</v>
      </c>
    </row>
    <row r="25" spans="1:20" ht="15" x14ac:dyDescent="0.25">
      <c r="A25" s="20">
        <v>2017</v>
      </c>
      <c r="B25" s="21">
        <f t="shared" si="2"/>
        <v>0.99350413165641271</v>
      </c>
      <c r="C25" s="25">
        <f t="shared" si="3"/>
        <v>2.5476773791802687E-2</v>
      </c>
      <c r="D25" s="25">
        <f t="shared" si="4"/>
        <v>1.9916719384044157</v>
      </c>
      <c r="E25" s="25">
        <f t="shared" si="5"/>
        <v>0.9540543089059319</v>
      </c>
      <c r="F25" s="47">
        <f t="shared" si="5"/>
        <v>1.0121408557066811</v>
      </c>
      <c r="G25" s="25">
        <f t="shared" si="6"/>
        <v>1.6495047948072994</v>
      </c>
      <c r="H25" s="25">
        <f t="shared" si="7"/>
        <v>2.4006471033587218</v>
      </c>
      <c r="I25" s="26">
        <f t="shared" si="8"/>
        <v>0.57838832109450622</v>
      </c>
      <c r="J25" s="26">
        <f t="shared" si="8"/>
        <v>0.42161167890549378</v>
      </c>
      <c r="K25" s="22">
        <f t="shared" si="0"/>
        <v>0.57993057354272992</v>
      </c>
      <c r="L25" s="48">
        <f t="shared" si="1"/>
        <v>0.42006942645727008</v>
      </c>
      <c r="M25" s="23">
        <v>4047009</v>
      </c>
      <c r="N25" s="24">
        <v>3899257.5246667201</v>
      </c>
      <c r="O25" s="24">
        <v>2208315</v>
      </c>
      <c r="P25" s="24">
        <v>8247070</v>
      </c>
      <c r="Q25" s="24">
        <v>7759800</v>
      </c>
      <c r="R25" s="24">
        <v>13211862.4064411</v>
      </c>
    </row>
    <row r="26" spans="1:20" ht="15" x14ac:dyDescent="0.25">
      <c r="A26" s="20">
        <v>2018</v>
      </c>
      <c r="B26" s="21">
        <f t="shared" si="2"/>
        <v>0.99269544233394258</v>
      </c>
      <c r="C26" s="25">
        <f t="shared" si="3"/>
        <v>-8.1430826765528375E-2</v>
      </c>
      <c r="D26" s="25">
        <f t="shared" si="4"/>
        <v>1.8071278877330954</v>
      </c>
      <c r="E26" s="25">
        <f t="shared" si="5"/>
        <v>0.93736804670163376</v>
      </c>
      <c r="F26" s="47">
        <f t="shared" si="5"/>
        <v>0.95119066779699002</v>
      </c>
      <c r="G26" s="25">
        <f t="shared" si="6"/>
        <v>1.6069877815079181</v>
      </c>
      <c r="H26" s="25">
        <f t="shared" si="7"/>
        <v>2.2827161470626578</v>
      </c>
      <c r="I26" s="26">
        <f t="shared" si="8"/>
        <v>0.58330751327931929</v>
      </c>
      <c r="J26" s="26">
        <f t="shared" si="8"/>
        <v>0.41669248672068071</v>
      </c>
      <c r="K26" s="22">
        <f t="shared" si="0"/>
        <v>0.58668445301590866</v>
      </c>
      <c r="L26" s="48">
        <f t="shared" si="1"/>
        <v>0.41331554698409134</v>
      </c>
      <c r="M26" s="23">
        <v>4224647</v>
      </c>
      <c r="N26" s="24">
        <v>3970362.6399307102</v>
      </c>
      <c r="O26" s="24">
        <v>2336125</v>
      </c>
      <c r="P26" s="24">
        <v>8380670</v>
      </c>
      <c r="Q26" s="24">
        <v>7899140</v>
      </c>
      <c r="R26" s="24">
        <v>13516920.279082101</v>
      </c>
    </row>
    <row r="27" spans="1:20" ht="15" x14ac:dyDescent="0.25">
      <c r="A27" s="20">
        <f>A26+1</f>
        <v>2019</v>
      </c>
      <c r="B27" s="21">
        <f t="shared" si="2"/>
        <v>1.0126541023306579</v>
      </c>
      <c r="C27" s="25">
        <f t="shared" si="3"/>
        <v>1.9906074828770359</v>
      </c>
      <c r="D27" s="25">
        <f t="shared" si="4"/>
        <v>2.7726203897948665</v>
      </c>
      <c r="E27" s="25">
        <f t="shared" si="5"/>
        <v>-0.16848886271171426</v>
      </c>
      <c r="F27" s="47">
        <f t="shared" si="5"/>
        <v>0.95050176962954502</v>
      </c>
      <c r="G27" s="25">
        <f t="shared" si="6"/>
        <v>-0.28965611662616908</v>
      </c>
      <c r="H27" s="25">
        <f t="shared" si="7"/>
        <v>2.2722199483993677</v>
      </c>
      <c r="I27" s="26">
        <f t="shared" si="8"/>
        <v>0.58168584414589253</v>
      </c>
      <c r="J27" s="26">
        <f t="shared" si="8"/>
        <v>0.41831415585410742</v>
      </c>
      <c r="K27" s="22">
        <f t="shared" si="0"/>
        <v>0.57668723527587651</v>
      </c>
      <c r="L27" s="48">
        <f t="shared" si="1"/>
        <v>0.42331276472412349</v>
      </c>
      <c r="M27" s="23">
        <v>4452618</v>
      </c>
      <c r="N27" s="24">
        <v>4081986.0196164101</v>
      </c>
      <c r="O27" s="24">
        <v>2421779</v>
      </c>
      <c r="P27" s="24">
        <v>8356430</v>
      </c>
      <c r="Q27" s="24">
        <v>7881330</v>
      </c>
      <c r="R27" s="24">
        <v>13827570.399512</v>
      </c>
    </row>
    <row r="28" spans="1:20" ht="15" x14ac:dyDescent="0.25">
      <c r="A28" s="20">
        <f t="shared" ref="A28:A30" si="9">A27+1</f>
        <v>2020</v>
      </c>
      <c r="B28" s="21">
        <v>1</v>
      </c>
      <c r="C28" s="25">
        <f t="shared" si="3"/>
        <v>-1.2574708250086297</v>
      </c>
      <c r="D28" s="25">
        <f t="shared" si="4"/>
        <v>-2.2907559843478253</v>
      </c>
      <c r="E28" s="25">
        <f t="shared" si="5"/>
        <v>-1.9085277932650233</v>
      </c>
      <c r="F28" s="47">
        <f t="shared" si="5"/>
        <v>0.87524263392582768</v>
      </c>
      <c r="G28" s="25">
        <f t="shared" si="6"/>
        <v>-3.2900841303574069</v>
      </c>
      <c r="H28" s="25">
        <f t="shared" si="7"/>
        <v>2.0843318674589995</v>
      </c>
      <c r="I28" s="26">
        <f t="shared" si="8"/>
        <v>0.58008479955121905</v>
      </c>
      <c r="J28" s="26">
        <f t="shared" si="8"/>
        <v>0.41991520044878095</v>
      </c>
      <c r="K28" s="22">
        <f t="shared" si="0"/>
        <v>0.5834823638265616</v>
      </c>
      <c r="L28" s="48">
        <f t="shared" si="1"/>
        <v>0.4165176361734384</v>
      </c>
      <c r="M28" s="23">
        <v>4444511</v>
      </c>
      <c r="N28" s="24">
        <v>3989540.5729679898</v>
      </c>
      <c r="O28" s="24">
        <v>2446852</v>
      </c>
      <c r="P28" s="24">
        <v>8085970</v>
      </c>
      <c r="Q28" s="24">
        <v>7629360</v>
      </c>
      <c r="R28" s="24">
        <v>14118807.4857713</v>
      </c>
    </row>
    <row r="29" spans="1:20" ht="15" x14ac:dyDescent="0.25">
      <c r="A29" s="20">
        <f t="shared" si="9"/>
        <v>2021</v>
      </c>
      <c r="B29" s="21">
        <f>B28*EXP(C29/100)</f>
        <v>1.0292563826349048</v>
      </c>
      <c r="C29" s="25">
        <f t="shared" si="3"/>
        <v>2.8836582897038685</v>
      </c>
      <c r="D29" s="25">
        <f t="shared" si="4"/>
        <v>5.2260536966128868</v>
      </c>
      <c r="E29" s="25">
        <f t="shared" si="5"/>
        <v>1.4830459916582339</v>
      </c>
      <c r="F29" s="47">
        <f t="shared" si="5"/>
        <v>0.85934941525078457</v>
      </c>
      <c r="G29" s="25">
        <f t="shared" si="6"/>
        <v>2.5691224677141022</v>
      </c>
      <c r="H29" s="25">
        <f t="shared" si="7"/>
        <v>2.0327978176595707</v>
      </c>
      <c r="I29" s="26">
        <f t="shared" si="8"/>
        <v>0.57725780311975017</v>
      </c>
      <c r="J29" s="26">
        <f t="shared" si="8"/>
        <v>0.42274219688024989</v>
      </c>
      <c r="K29" s="22">
        <f t="shared" si="0"/>
        <v>0.57103324241293862</v>
      </c>
      <c r="L29" s="48">
        <f t="shared" si="1"/>
        <v>0.42896675758706138</v>
      </c>
      <c r="M29" s="23">
        <v>4802076</v>
      </c>
      <c r="N29" s="24">
        <v>4203580.3087417698</v>
      </c>
      <c r="O29" s="24">
        <v>2601445</v>
      </c>
      <c r="P29" s="24">
        <v>8296400</v>
      </c>
      <c r="Q29" s="24">
        <v>7870710</v>
      </c>
      <c r="R29" s="24">
        <v>14408751.297653601</v>
      </c>
    </row>
    <row r="30" spans="1:20" ht="15" x14ac:dyDescent="0.25">
      <c r="A30" s="20">
        <f t="shared" si="9"/>
        <v>2022</v>
      </c>
      <c r="B30" s="27">
        <f t="shared" ref="B30" si="10">B29*EXP(C30/100)</f>
        <v>1.0161971094318303</v>
      </c>
      <c r="C30" s="28">
        <f t="shared" si="3"/>
        <v>-1.276924721106258</v>
      </c>
      <c r="D30" s="25">
        <f t="shared" si="4"/>
        <v>1.4359271527293771</v>
      </c>
      <c r="E30" s="28">
        <f t="shared" si="5"/>
        <v>1.7354814970830978</v>
      </c>
      <c r="F30" s="51">
        <f t="shared" si="5"/>
        <v>0.97737037675253735</v>
      </c>
      <c r="G30" s="25">
        <f t="shared" si="6"/>
        <v>3.0646295233173859</v>
      </c>
      <c r="H30" s="25">
        <f t="shared" si="7"/>
        <v>2.2535323776523342</v>
      </c>
      <c r="I30" s="26">
        <f t="shared" si="8"/>
        <v>0.56629406062905829</v>
      </c>
      <c r="J30" s="26">
        <f t="shared" si="8"/>
        <v>0.43370593937094171</v>
      </c>
      <c r="K30" s="22">
        <f t="shared" si="0"/>
        <v>0.56155487884517796</v>
      </c>
      <c r="L30" s="48">
        <f t="shared" si="1"/>
        <v>0.43844512115482204</v>
      </c>
      <c r="M30" s="23">
        <v>5158193</v>
      </c>
      <c r="N30" s="23">
        <v>4264376.1068546697</v>
      </c>
      <c r="O30" s="23">
        <v>2753972</v>
      </c>
      <c r="P30" s="24">
        <v>8554590</v>
      </c>
      <c r="Q30" s="24">
        <v>8133340</v>
      </c>
      <c r="R30" s="24">
        <v>14737143.4880677</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3651-73BE-417B-A7A1-4B888D6F8B18}">
  <sheetPr>
    <tabColor rgb="FF92D050"/>
  </sheetPr>
  <dimension ref="A1:AJ114"/>
  <sheetViews>
    <sheetView zoomScaleNormal="100" zoomScaleSheetLayoutView="70" workbookViewId="0"/>
  </sheetViews>
  <sheetFormatPr defaultColWidth="11.42578125" defaultRowHeight="12.75" x14ac:dyDescent="0.2"/>
  <cols>
    <col min="1" max="1" width="45" customWidth="1"/>
    <col min="2" max="2" width="12.5703125" customWidth="1"/>
    <col min="3" max="3" width="13.7109375" customWidth="1"/>
    <col min="4" max="4" width="13.85546875" customWidth="1"/>
    <col min="5" max="5" width="13.28515625" customWidth="1"/>
    <col min="6" max="7" width="13.42578125" customWidth="1"/>
    <col min="8" max="8" width="13.85546875" customWidth="1"/>
    <col min="9" max="12" width="12.5703125" customWidth="1"/>
    <col min="13" max="13" width="13.5703125" customWidth="1"/>
    <col min="14" max="14" width="12.5703125" customWidth="1"/>
    <col min="15" max="15" width="15.28515625" customWidth="1"/>
    <col min="16" max="16" width="13.85546875" customWidth="1"/>
    <col min="17" max="18" width="12.5703125" customWidth="1"/>
    <col min="19" max="19" width="10.85546875" customWidth="1"/>
    <col min="20" max="20" width="8.140625" customWidth="1"/>
    <col min="21" max="21" width="11.42578125" customWidth="1"/>
    <col min="22" max="22" width="11.85546875" customWidth="1"/>
    <col min="23" max="24" width="8.140625" customWidth="1"/>
    <col min="25" max="25" width="9.140625" customWidth="1"/>
    <col min="27" max="27" width="9.7109375" customWidth="1"/>
    <col min="28" max="28" width="8.7109375" customWidth="1"/>
  </cols>
  <sheetData>
    <row r="1" spans="1:18" ht="52.5" customHeight="1" x14ac:dyDescent="0.2">
      <c r="A1" s="31" t="s">
        <v>82</v>
      </c>
      <c r="B1" s="16"/>
    </row>
    <row r="2" spans="1:18" ht="110.25" x14ac:dyDescent="0.2">
      <c r="A2" s="17" t="s">
        <v>142</v>
      </c>
    </row>
    <row r="3" spans="1:18" ht="409.5" customHeight="1" x14ac:dyDescent="0.2">
      <c r="A3" s="90" t="s">
        <v>134</v>
      </c>
      <c r="B3" s="16"/>
    </row>
    <row r="4" spans="1:18" ht="36.75" customHeight="1" x14ac:dyDescent="0.2">
      <c r="A4" s="17"/>
      <c r="B4" s="16"/>
    </row>
    <row r="5" spans="1:18" ht="409.5" customHeight="1" x14ac:dyDescent="0.2">
      <c r="A5" s="90" t="s">
        <v>136</v>
      </c>
      <c r="B5" s="16"/>
    </row>
    <row r="6" spans="1:18" ht="44.25" customHeight="1" x14ac:dyDescent="0.2">
      <c r="A6" s="17"/>
      <c r="B6" s="16"/>
    </row>
    <row r="7" spans="1:18" ht="120.75" customHeight="1" x14ac:dyDescent="0.2">
      <c r="A7" s="36" t="s">
        <v>4</v>
      </c>
      <c r="B7" s="16"/>
    </row>
    <row r="8" spans="1:18" s="18" customFormat="1" ht="95.25" customHeight="1" x14ac:dyDescent="0.25">
      <c r="A8" s="37" t="s">
        <v>2</v>
      </c>
      <c r="B8" s="38" t="s">
        <v>6</v>
      </c>
      <c r="C8" s="39" t="s">
        <v>7</v>
      </c>
      <c r="D8" s="40" t="s">
        <v>8</v>
      </c>
      <c r="E8" s="40" t="s">
        <v>3</v>
      </c>
      <c r="F8" s="50" t="s">
        <v>9</v>
      </c>
      <c r="G8" s="41" t="s">
        <v>10</v>
      </c>
      <c r="H8" s="41" t="s">
        <v>11</v>
      </c>
      <c r="I8" s="41" t="s">
        <v>12</v>
      </c>
      <c r="J8" s="41" t="s">
        <v>13</v>
      </c>
      <c r="K8" s="41" t="s">
        <v>14</v>
      </c>
      <c r="L8" s="49" t="s">
        <v>15</v>
      </c>
      <c r="M8" s="41" t="s">
        <v>16</v>
      </c>
      <c r="N8" s="41" t="s">
        <v>17</v>
      </c>
      <c r="O8" s="41" t="s">
        <v>18</v>
      </c>
      <c r="P8" s="41" t="s">
        <v>19</v>
      </c>
      <c r="Q8" s="41" t="s">
        <v>20</v>
      </c>
      <c r="R8" s="41" t="s">
        <v>21</v>
      </c>
    </row>
    <row r="9" spans="1:18" ht="15" x14ac:dyDescent="0.25">
      <c r="A9" s="20">
        <v>2001</v>
      </c>
      <c r="B9" s="21"/>
      <c r="C9" s="25"/>
      <c r="D9" s="25"/>
      <c r="E9" s="25"/>
      <c r="F9" s="47"/>
      <c r="G9" s="25"/>
      <c r="H9" s="25"/>
      <c r="I9" s="26"/>
      <c r="J9" s="26"/>
      <c r="K9" s="22">
        <f t="shared" ref="K9:K30" si="0">O9*(P9/Q9)/M9</f>
        <v>0.5395664478193396</v>
      </c>
      <c r="L9" s="48">
        <f t="shared" ref="L9:L30" si="1">1-K9</f>
        <v>0.4604335521806604</v>
      </c>
      <c r="M9" s="23">
        <v>1384313</v>
      </c>
      <c r="N9" s="24">
        <v>2287564</v>
      </c>
      <c r="O9" s="24">
        <v>678100</v>
      </c>
      <c r="P9" s="24">
        <v>3299000</v>
      </c>
      <c r="Q9" s="24">
        <v>2995000</v>
      </c>
      <c r="R9" s="24">
        <v>6974740.5304017598</v>
      </c>
    </row>
    <row r="10" spans="1:18" ht="15" x14ac:dyDescent="0.25">
      <c r="A10" s="20">
        <v>2002</v>
      </c>
      <c r="B10" s="21">
        <f t="shared" ref="B10:B27" si="2">B11*EXP(-C11/100)</f>
        <v>1.068939739576767</v>
      </c>
      <c r="C10" s="25">
        <f t="shared" ref="C10:C30" si="3">D10-E10-F10</f>
        <v>0.883977602127201</v>
      </c>
      <c r="D10" s="25">
        <f t="shared" ref="D10:D30" si="4">(LN(N10)-LN(N9))*100</f>
        <v>1.0474059349123266</v>
      </c>
      <c r="E10" s="25">
        <f t="shared" ref="E10:F30" si="5">I10*G10</f>
        <v>-0.4209800599044754</v>
      </c>
      <c r="F10" s="47">
        <f t="shared" si="5"/>
        <v>0.58440839268960088</v>
      </c>
      <c r="G10" s="25">
        <f t="shared" ref="G10:G30" si="6">(LN(P10)-LN(P9))*100</f>
        <v>-0.76069132975007392</v>
      </c>
      <c r="H10" s="25">
        <f t="shared" ref="H10:H30" si="7">(LN(R10)-LN(R9))*100</f>
        <v>1.3086242253729452</v>
      </c>
      <c r="I10" s="26">
        <f t="shared" ref="I10:J30" si="8">(K10+K9)/2</f>
        <v>0.55341771812068496</v>
      </c>
      <c r="J10" s="26">
        <f t="shared" si="8"/>
        <v>0.44658228187931504</v>
      </c>
      <c r="K10" s="22">
        <f t="shared" si="0"/>
        <v>0.56726898842203033</v>
      </c>
      <c r="L10" s="48">
        <f t="shared" si="1"/>
        <v>0.43273101157796967</v>
      </c>
      <c r="M10" s="23">
        <v>1380592</v>
      </c>
      <c r="N10" s="24">
        <v>2311650</v>
      </c>
      <c r="O10" s="24">
        <v>710687</v>
      </c>
      <c r="P10" s="24">
        <v>3274000</v>
      </c>
      <c r="Q10" s="24">
        <v>2971000</v>
      </c>
      <c r="R10" s="24">
        <v>7066613.4995065704</v>
      </c>
    </row>
    <row r="11" spans="1:18" ht="15" x14ac:dyDescent="0.25">
      <c r="A11" s="20">
        <v>2003</v>
      </c>
      <c r="B11" s="21">
        <f t="shared" si="2"/>
        <v>1.0854765522932934</v>
      </c>
      <c r="C11" s="25">
        <f t="shared" si="3"/>
        <v>1.5351849649183886</v>
      </c>
      <c r="D11" s="25">
        <f t="shared" si="4"/>
        <v>0.86892386746413308</v>
      </c>
      <c r="E11" s="25">
        <f t="shared" si="5"/>
        <v>-1.2702562312987513</v>
      </c>
      <c r="F11" s="47">
        <f t="shared" si="5"/>
        <v>0.60399513384449599</v>
      </c>
      <c r="G11" s="25">
        <f t="shared" si="6"/>
        <v>-2.2549217961218559</v>
      </c>
      <c r="H11" s="25">
        <f t="shared" si="7"/>
        <v>1.3831719527047426</v>
      </c>
      <c r="I11" s="26">
        <f t="shared" si="8"/>
        <v>0.56332606899423787</v>
      </c>
      <c r="J11" s="26">
        <f t="shared" si="8"/>
        <v>0.43667393100576207</v>
      </c>
      <c r="K11" s="22">
        <f t="shared" si="0"/>
        <v>0.55938314956644553</v>
      </c>
      <c r="L11" s="48">
        <f t="shared" si="1"/>
        <v>0.44061685043355447</v>
      </c>
      <c r="M11" s="23">
        <v>1439673</v>
      </c>
      <c r="N11" s="24">
        <v>2331824</v>
      </c>
      <c r="O11" s="24">
        <v>730356</v>
      </c>
      <c r="P11" s="24">
        <v>3201000</v>
      </c>
      <c r="Q11" s="24">
        <v>2903000</v>
      </c>
      <c r="R11" s="24">
        <v>7165036.02265637</v>
      </c>
    </row>
    <row r="12" spans="1:18" ht="15" x14ac:dyDescent="0.25">
      <c r="A12" s="20">
        <v>2004</v>
      </c>
      <c r="B12" s="21">
        <f t="shared" si="2"/>
        <v>1.1048913993005065</v>
      </c>
      <c r="C12" s="25">
        <f t="shared" si="3"/>
        <v>1.7727939696173896</v>
      </c>
      <c r="D12" s="25">
        <f t="shared" si="4"/>
        <v>3.7138646813222209</v>
      </c>
      <c r="E12" s="25">
        <f t="shared" si="5"/>
        <v>1.0292850551142794</v>
      </c>
      <c r="F12" s="47">
        <f t="shared" si="5"/>
        <v>0.91178565659055233</v>
      </c>
      <c r="G12" s="25">
        <f t="shared" si="6"/>
        <v>1.8877243211097294</v>
      </c>
      <c r="H12" s="25">
        <f t="shared" si="7"/>
        <v>2.0050340516391429</v>
      </c>
      <c r="I12" s="26">
        <f t="shared" si="8"/>
        <v>0.54525178470402791</v>
      </c>
      <c r="J12" s="26">
        <f t="shared" si="8"/>
        <v>0.45474821529597215</v>
      </c>
      <c r="K12" s="22">
        <f t="shared" si="0"/>
        <v>0.53112041984161018</v>
      </c>
      <c r="L12" s="48">
        <f t="shared" si="1"/>
        <v>0.46887958015838982</v>
      </c>
      <c r="M12" s="23">
        <v>1588547</v>
      </c>
      <c r="N12" s="24">
        <v>2420053</v>
      </c>
      <c r="O12" s="24">
        <v>766374</v>
      </c>
      <c r="P12" s="24">
        <v>3262000</v>
      </c>
      <c r="Q12" s="24">
        <v>2963000</v>
      </c>
      <c r="R12" s="24">
        <v>7310147.3389835404</v>
      </c>
    </row>
    <row r="13" spans="1:18" ht="15" x14ac:dyDescent="0.25">
      <c r="A13" s="20">
        <v>2005</v>
      </c>
      <c r="B13" s="21">
        <f t="shared" si="2"/>
        <v>1.1088909475720261</v>
      </c>
      <c r="C13" s="25">
        <f t="shared" si="3"/>
        <v>0.36133205495164211</v>
      </c>
      <c r="D13" s="25">
        <f t="shared" si="4"/>
        <v>2.497060655919725</v>
      </c>
      <c r="E13" s="25">
        <f t="shared" si="5"/>
        <v>0.80119636264049854</v>
      </c>
      <c r="F13" s="47">
        <f t="shared" si="5"/>
        <v>1.3345322383275844</v>
      </c>
      <c r="G13" s="25">
        <f t="shared" si="6"/>
        <v>1.5513619118936006</v>
      </c>
      <c r="H13" s="25">
        <f t="shared" si="7"/>
        <v>2.759847458733411</v>
      </c>
      <c r="I13" s="26">
        <f t="shared" si="8"/>
        <v>0.51644710141333428</v>
      </c>
      <c r="J13" s="26">
        <f t="shared" si="8"/>
        <v>0.48355289858666578</v>
      </c>
      <c r="K13" s="22">
        <f t="shared" si="0"/>
        <v>0.50177378298505826</v>
      </c>
      <c r="L13" s="48">
        <f t="shared" si="1"/>
        <v>0.49822621701494174</v>
      </c>
      <c r="M13" s="23">
        <v>1782652</v>
      </c>
      <c r="N13" s="24">
        <v>2481244</v>
      </c>
      <c r="O13" s="24">
        <v>814570</v>
      </c>
      <c r="P13" s="24">
        <v>3313000</v>
      </c>
      <c r="Q13" s="24">
        <v>3017000</v>
      </c>
      <c r="R13" s="24">
        <v>7514706.0246063201</v>
      </c>
    </row>
    <row r="14" spans="1:18" ht="15" x14ac:dyDescent="0.25">
      <c r="A14" s="20">
        <v>2006</v>
      </c>
      <c r="B14" s="21">
        <f t="shared" si="2"/>
        <v>1.0962261090736263</v>
      </c>
      <c r="C14" s="25">
        <f t="shared" si="3"/>
        <v>-1.1486898365914266</v>
      </c>
      <c r="D14" s="25">
        <f t="shared" si="4"/>
        <v>1.9858385248269883</v>
      </c>
      <c r="E14" s="25">
        <f t="shared" si="5"/>
        <v>1.5343915668988382</v>
      </c>
      <c r="F14" s="47">
        <f t="shared" si="5"/>
        <v>1.6001367945195768</v>
      </c>
      <c r="G14" s="25">
        <f t="shared" si="6"/>
        <v>3.0908849815396877</v>
      </c>
      <c r="H14" s="25">
        <f t="shared" si="7"/>
        <v>3.1775520153619397</v>
      </c>
      <c r="I14" s="26">
        <f t="shared" si="8"/>
        <v>0.49642467321268591</v>
      </c>
      <c r="J14" s="26">
        <f t="shared" si="8"/>
        <v>0.50357532678731398</v>
      </c>
      <c r="K14" s="22">
        <f t="shared" si="0"/>
        <v>0.49107556344031361</v>
      </c>
      <c r="L14" s="48">
        <f t="shared" si="1"/>
        <v>0.50892443655968633</v>
      </c>
      <c r="M14" s="23">
        <v>1986103</v>
      </c>
      <c r="N14" s="24">
        <v>2531010</v>
      </c>
      <c r="O14" s="24">
        <v>889982</v>
      </c>
      <c r="P14" s="24">
        <v>3417000</v>
      </c>
      <c r="Q14" s="24">
        <v>3118000</v>
      </c>
      <c r="R14" s="24">
        <v>7757323.9592720997</v>
      </c>
    </row>
    <row r="15" spans="1:18" ht="15" x14ac:dyDescent="0.25">
      <c r="A15" s="20">
        <v>2007</v>
      </c>
      <c r="B15" s="21">
        <f t="shared" si="2"/>
        <v>1.0759930341657884</v>
      </c>
      <c r="C15" s="25">
        <f t="shared" si="3"/>
        <v>-1.8629483252374046</v>
      </c>
      <c r="D15" s="25">
        <f t="shared" si="4"/>
        <v>2.3896990407893171</v>
      </c>
      <c r="E15" s="25">
        <f t="shared" si="5"/>
        <v>2.3558751578683217</v>
      </c>
      <c r="F15" s="47">
        <f t="shared" si="5"/>
        <v>1.8967722081584</v>
      </c>
      <c r="G15" s="25">
        <f t="shared" si="6"/>
        <v>4.6879117883140253</v>
      </c>
      <c r="H15" s="25">
        <f t="shared" si="7"/>
        <v>3.8129335870134895</v>
      </c>
      <c r="I15" s="26">
        <f t="shared" si="8"/>
        <v>0.50254255289978389</v>
      </c>
      <c r="J15" s="26">
        <f t="shared" si="8"/>
        <v>0.49745744710021605</v>
      </c>
      <c r="K15" s="22">
        <f t="shared" si="0"/>
        <v>0.51400954235925422</v>
      </c>
      <c r="L15" s="48">
        <f t="shared" si="1"/>
        <v>0.48599045764074578</v>
      </c>
      <c r="M15" s="23">
        <v>2095519</v>
      </c>
      <c r="N15" s="24">
        <v>2592222</v>
      </c>
      <c r="O15" s="24">
        <v>986580</v>
      </c>
      <c r="P15" s="24">
        <v>3581000</v>
      </c>
      <c r="Q15" s="24">
        <v>3280000</v>
      </c>
      <c r="R15" s="24">
        <v>8058816.9067494003</v>
      </c>
    </row>
    <row r="16" spans="1:18" ht="15" x14ac:dyDescent="0.25">
      <c r="A16" s="20">
        <v>2008</v>
      </c>
      <c r="B16" s="21">
        <f t="shared" si="2"/>
        <v>1.046738458017108</v>
      </c>
      <c r="C16" s="25">
        <f t="shared" si="3"/>
        <v>-2.7564888532981362</v>
      </c>
      <c r="D16" s="25">
        <f t="shared" si="4"/>
        <v>0.69826801492762769</v>
      </c>
      <c r="E16" s="25">
        <f t="shared" si="5"/>
        <v>1.7665145473141701</v>
      </c>
      <c r="F16" s="47">
        <f t="shared" si="5"/>
        <v>1.6882423209115935</v>
      </c>
      <c r="G16" s="25">
        <f t="shared" si="6"/>
        <v>3.4850556687313627</v>
      </c>
      <c r="H16" s="25">
        <f t="shared" si="7"/>
        <v>3.4236122705246785</v>
      </c>
      <c r="I16" s="26">
        <f t="shared" si="8"/>
        <v>0.50688273451804589</v>
      </c>
      <c r="J16" s="26">
        <f t="shared" si="8"/>
        <v>0.49311726548195411</v>
      </c>
      <c r="K16" s="22">
        <f t="shared" si="0"/>
        <v>0.49975592667683755</v>
      </c>
      <c r="L16" s="48">
        <f t="shared" si="1"/>
        <v>0.50024407332316245</v>
      </c>
      <c r="M16" s="23">
        <v>2361687</v>
      </c>
      <c r="N16" s="24">
        <v>2610386</v>
      </c>
      <c r="O16" s="24">
        <v>1083503</v>
      </c>
      <c r="P16" s="24">
        <v>3708000</v>
      </c>
      <c r="Q16" s="24">
        <v>3404000</v>
      </c>
      <c r="R16" s="24">
        <v>8339496.8322540997</v>
      </c>
    </row>
    <row r="17" spans="1:20" ht="15" x14ac:dyDescent="0.25">
      <c r="A17" s="20">
        <v>2009</v>
      </c>
      <c r="B17" s="21">
        <f t="shared" si="2"/>
        <v>1.0229043227413046</v>
      </c>
      <c r="C17" s="25">
        <f t="shared" si="3"/>
        <v>-2.3033142923475887</v>
      </c>
      <c r="D17" s="25">
        <f t="shared" si="4"/>
        <v>-2.129481455413007</v>
      </c>
      <c r="E17" s="25">
        <f t="shared" si="5"/>
        <v>-0.992457709212197</v>
      </c>
      <c r="F17" s="47">
        <f t="shared" si="5"/>
        <v>1.1662905461467785</v>
      </c>
      <c r="G17" s="25">
        <f t="shared" si="6"/>
        <v>-1.8783729073586386</v>
      </c>
      <c r="H17" s="25">
        <f t="shared" si="7"/>
        <v>2.4728422862303034</v>
      </c>
      <c r="I17" s="26">
        <f t="shared" si="8"/>
        <v>0.5283603193616051</v>
      </c>
      <c r="J17" s="26">
        <f t="shared" si="8"/>
        <v>0.4716396806383949</v>
      </c>
      <c r="K17" s="22">
        <f t="shared" si="0"/>
        <v>0.55696471204637266</v>
      </c>
      <c r="L17" s="48">
        <f t="shared" si="1"/>
        <v>0.44303528795362734</v>
      </c>
      <c r="M17" s="23">
        <v>2178622</v>
      </c>
      <c r="N17" s="24">
        <v>2555386</v>
      </c>
      <c r="O17" s="24">
        <v>1115382</v>
      </c>
      <c r="P17" s="24">
        <v>3639000</v>
      </c>
      <c r="Q17" s="24">
        <v>3345000</v>
      </c>
      <c r="R17" s="24">
        <v>8548290.3641819395</v>
      </c>
    </row>
    <row r="18" spans="1:20" ht="15" x14ac:dyDescent="0.25">
      <c r="A18" s="20">
        <v>2010</v>
      </c>
      <c r="B18" s="21">
        <f t="shared" si="2"/>
        <v>1.0186405904070182</v>
      </c>
      <c r="C18" s="25">
        <f t="shared" si="3"/>
        <v>-0.417697255247373</v>
      </c>
      <c r="D18" s="25">
        <f t="shared" si="4"/>
        <v>0.50705039894811677</v>
      </c>
      <c r="E18" s="25">
        <f t="shared" si="5"/>
        <v>0.15027905781543191</v>
      </c>
      <c r="F18" s="47">
        <f t="shared" si="5"/>
        <v>0.77446859638005783</v>
      </c>
      <c r="G18" s="25">
        <f t="shared" si="6"/>
        <v>0.27442388242882032</v>
      </c>
      <c r="H18" s="25">
        <f t="shared" si="7"/>
        <v>1.7119737347060848</v>
      </c>
      <c r="I18" s="26">
        <f t="shared" si="8"/>
        <v>0.54761654301137974</v>
      </c>
      <c r="J18" s="26">
        <f t="shared" si="8"/>
        <v>0.45238345698862031</v>
      </c>
      <c r="K18" s="22">
        <f t="shared" si="0"/>
        <v>0.53826837397638672</v>
      </c>
      <c r="L18" s="48">
        <f t="shared" si="1"/>
        <v>0.46173162602361328</v>
      </c>
      <c r="M18" s="23">
        <v>2321905</v>
      </c>
      <c r="N18" s="24">
        <v>2568376</v>
      </c>
      <c r="O18" s="24">
        <v>1150481</v>
      </c>
      <c r="P18" s="24">
        <v>3649000</v>
      </c>
      <c r="Q18" s="24">
        <v>3359000</v>
      </c>
      <c r="R18" s="24">
        <v>8695894.7188353799</v>
      </c>
    </row>
    <row r="19" spans="1:20" ht="15" x14ac:dyDescent="0.25">
      <c r="A19" s="20">
        <v>2011</v>
      </c>
      <c r="B19" s="21">
        <f t="shared" si="2"/>
        <v>1.0074432823421342</v>
      </c>
      <c r="C19" s="25">
        <f t="shared" si="3"/>
        <v>-1.1053266074086769</v>
      </c>
      <c r="D19" s="25">
        <f t="shared" si="4"/>
        <v>0.83354333242038336</v>
      </c>
      <c r="E19" s="25">
        <f t="shared" si="5"/>
        <v>0.94092788288630602</v>
      </c>
      <c r="F19" s="47">
        <f t="shared" si="5"/>
        <v>0.9979420569427544</v>
      </c>
      <c r="G19" s="25">
        <f t="shared" si="6"/>
        <v>1.7656305476203116</v>
      </c>
      <c r="H19" s="25">
        <f t="shared" si="7"/>
        <v>2.1365239326120999</v>
      </c>
      <c r="I19" s="26">
        <f t="shared" si="8"/>
        <v>0.53291323270005353</v>
      </c>
      <c r="J19" s="26">
        <f t="shared" si="8"/>
        <v>0.46708676729994647</v>
      </c>
      <c r="K19" s="22">
        <f t="shared" si="0"/>
        <v>0.52755809142372034</v>
      </c>
      <c r="L19" s="48">
        <f t="shared" si="1"/>
        <v>0.47244190857627966</v>
      </c>
      <c r="M19" s="23">
        <v>2515074</v>
      </c>
      <c r="N19" s="24">
        <v>2589874</v>
      </c>
      <c r="O19" s="24">
        <v>1223958</v>
      </c>
      <c r="P19" s="24">
        <v>3714000</v>
      </c>
      <c r="Q19" s="24">
        <v>3426000</v>
      </c>
      <c r="R19" s="24">
        <v>8883683.5237081591</v>
      </c>
    </row>
    <row r="20" spans="1:20" ht="15" x14ac:dyDescent="0.25">
      <c r="A20" s="20">
        <v>2012</v>
      </c>
      <c r="B20" s="21">
        <f t="shared" si="2"/>
        <v>1.0117068052473981</v>
      </c>
      <c r="C20" s="25">
        <f t="shared" si="3"/>
        <v>0.42230929418823027</v>
      </c>
      <c r="D20" s="25">
        <f t="shared" si="4"/>
        <v>2.5982416723328683</v>
      </c>
      <c r="E20" s="25">
        <f t="shared" si="5"/>
        <v>0.95840324703581392</v>
      </c>
      <c r="F20" s="47">
        <f t="shared" si="5"/>
        <v>1.2175291311088241</v>
      </c>
      <c r="G20" s="25">
        <f t="shared" si="6"/>
        <v>1.8143507305751427</v>
      </c>
      <c r="H20" s="25">
        <f t="shared" si="7"/>
        <v>2.5807948630090394</v>
      </c>
      <c r="I20" s="26">
        <f t="shared" si="8"/>
        <v>0.52823482851741876</v>
      </c>
      <c r="J20" s="26">
        <f t="shared" si="8"/>
        <v>0.47176517148258118</v>
      </c>
      <c r="K20" s="22">
        <f t="shared" si="0"/>
        <v>0.5289115656111173</v>
      </c>
      <c r="L20" s="48">
        <f t="shared" si="1"/>
        <v>0.4710884343888827</v>
      </c>
      <c r="M20" s="23">
        <v>2674361</v>
      </c>
      <c r="N20" s="24">
        <v>2658047</v>
      </c>
      <c r="O20" s="24">
        <v>1307160</v>
      </c>
      <c r="P20" s="24">
        <v>3782000</v>
      </c>
      <c r="Q20" s="24">
        <v>3495000</v>
      </c>
      <c r="R20" s="24">
        <v>9115937.2772927806</v>
      </c>
    </row>
    <row r="21" spans="1:20" ht="15" x14ac:dyDescent="0.25">
      <c r="A21" s="20">
        <v>2013</v>
      </c>
      <c r="B21" s="21">
        <f t="shared" si="2"/>
        <v>1.0059292258717547</v>
      </c>
      <c r="C21" s="25">
        <f t="shared" si="3"/>
        <v>-0.5727093567305197</v>
      </c>
      <c r="D21" s="25">
        <f t="shared" si="4"/>
        <v>0.94229417459779086</v>
      </c>
      <c r="E21" s="25">
        <f t="shared" si="5"/>
        <v>0.21142175555951059</v>
      </c>
      <c r="F21" s="47">
        <f t="shared" si="5"/>
        <v>1.3035817757688</v>
      </c>
      <c r="G21" s="25">
        <f t="shared" si="6"/>
        <v>0.39583110133989408</v>
      </c>
      <c r="H21" s="25">
        <f t="shared" si="7"/>
        <v>2.798113120599055</v>
      </c>
      <c r="I21" s="26">
        <f t="shared" si="8"/>
        <v>0.53412113106788439</v>
      </c>
      <c r="J21" s="26">
        <f t="shared" si="8"/>
        <v>0.46587886893211555</v>
      </c>
      <c r="K21" s="22">
        <f t="shared" si="0"/>
        <v>0.5393306965246516</v>
      </c>
      <c r="L21" s="48">
        <f t="shared" si="1"/>
        <v>0.4606693034753484</v>
      </c>
      <c r="M21" s="23">
        <v>2768461</v>
      </c>
      <c r="N21" s="24">
        <v>2683212</v>
      </c>
      <c r="O21" s="24">
        <v>1383010</v>
      </c>
      <c r="P21" s="24">
        <v>3797000</v>
      </c>
      <c r="Q21" s="24">
        <v>3517000</v>
      </c>
      <c r="R21" s="24">
        <v>9374613.6661012694</v>
      </c>
    </row>
    <row r="22" spans="1:20" ht="15" x14ac:dyDescent="0.25">
      <c r="A22" s="20">
        <v>2014</v>
      </c>
      <c r="B22" s="21">
        <f t="shared" si="2"/>
        <v>1.0090975878368007</v>
      </c>
      <c r="C22" s="25">
        <f t="shared" si="3"/>
        <v>0.31447368884451543</v>
      </c>
      <c r="D22" s="25">
        <f t="shared" si="4"/>
        <v>2.033110488037515</v>
      </c>
      <c r="E22" s="25">
        <f t="shared" si="5"/>
        <v>0.66962235167036022</v>
      </c>
      <c r="F22" s="47">
        <f t="shared" si="5"/>
        <v>1.0490144475226393</v>
      </c>
      <c r="G22" s="25">
        <f t="shared" si="6"/>
        <v>1.2302209858381374</v>
      </c>
      <c r="H22" s="25">
        <f t="shared" si="7"/>
        <v>2.3020384088262347</v>
      </c>
      <c r="I22" s="26">
        <f t="shared" si="8"/>
        <v>0.54431062335857738</v>
      </c>
      <c r="J22" s="26">
        <f t="shared" si="8"/>
        <v>0.45568937664142262</v>
      </c>
      <c r="K22" s="22">
        <f t="shared" si="0"/>
        <v>0.54929055019250317</v>
      </c>
      <c r="L22" s="48">
        <f t="shared" si="1"/>
        <v>0.45070944980749683</v>
      </c>
      <c r="M22" s="23">
        <v>2829537</v>
      </c>
      <c r="N22" s="24">
        <v>2738323</v>
      </c>
      <c r="O22" s="24">
        <v>1442239</v>
      </c>
      <c r="P22" s="24">
        <v>3844000</v>
      </c>
      <c r="Q22" s="24">
        <v>3567000</v>
      </c>
      <c r="R22" s="24">
        <v>9592924.0267205909</v>
      </c>
    </row>
    <row r="23" spans="1:20" ht="15" x14ac:dyDescent="0.25">
      <c r="A23" s="20">
        <v>2015</v>
      </c>
      <c r="B23" s="21">
        <f t="shared" si="2"/>
        <v>1.0153849831787629</v>
      </c>
      <c r="C23" s="25">
        <f t="shared" si="3"/>
        <v>0.62113802772067483</v>
      </c>
      <c r="D23" s="25">
        <f t="shared" si="4"/>
        <v>1.7928945898326276</v>
      </c>
      <c r="E23" s="25">
        <f t="shared" si="5"/>
        <v>0.3206916749686794</v>
      </c>
      <c r="F23" s="47">
        <f t="shared" si="5"/>
        <v>0.85106488714327333</v>
      </c>
      <c r="G23" s="25">
        <f t="shared" si="6"/>
        <v>0.57068896780929634</v>
      </c>
      <c r="H23" s="25">
        <f t="shared" si="7"/>
        <v>1.9427944057465396</v>
      </c>
      <c r="I23" s="26">
        <f t="shared" si="8"/>
        <v>0.56193775078519304</v>
      </c>
      <c r="J23" s="26">
        <f t="shared" si="8"/>
        <v>0.43806224921480691</v>
      </c>
      <c r="K23" s="22">
        <f t="shared" si="0"/>
        <v>0.57458495137788301</v>
      </c>
      <c r="L23" s="48">
        <f t="shared" si="1"/>
        <v>0.42541504862211699</v>
      </c>
      <c r="M23" s="23">
        <v>2787861</v>
      </c>
      <c r="N23" s="24">
        <v>2787861</v>
      </c>
      <c r="O23" s="24">
        <v>1485846</v>
      </c>
      <c r="P23" s="24">
        <v>3866000</v>
      </c>
      <c r="Q23" s="24">
        <v>3586000</v>
      </c>
      <c r="R23" s="24">
        <v>9781117</v>
      </c>
    </row>
    <row r="24" spans="1:20" ht="15" x14ac:dyDescent="0.25">
      <c r="A24" s="20">
        <v>2016</v>
      </c>
      <c r="B24" s="21">
        <f t="shared" si="2"/>
        <v>1.0140302805810673</v>
      </c>
      <c r="C24" s="25">
        <f t="shared" si="3"/>
        <v>-0.13350671231325217</v>
      </c>
      <c r="D24" s="25">
        <f t="shared" si="4"/>
        <v>1.0319043419613649</v>
      </c>
      <c r="E24" s="25">
        <f t="shared" si="5"/>
        <v>0.28545701272791163</v>
      </c>
      <c r="F24" s="47">
        <f t="shared" si="5"/>
        <v>0.87995404154670542</v>
      </c>
      <c r="G24" s="25">
        <f t="shared" si="6"/>
        <v>0.49026030334715642</v>
      </c>
      <c r="H24" s="25">
        <f t="shared" si="7"/>
        <v>2.106443378110967</v>
      </c>
      <c r="I24" s="26">
        <f t="shared" si="8"/>
        <v>0.58225601946355776</v>
      </c>
      <c r="J24" s="26">
        <f t="shared" si="8"/>
        <v>0.41774398053644224</v>
      </c>
      <c r="K24" s="22">
        <f t="shared" si="0"/>
        <v>0.58992708754923251</v>
      </c>
      <c r="L24" s="48">
        <f t="shared" si="1"/>
        <v>0.41007291245076749</v>
      </c>
      <c r="M24" s="23">
        <v>2757573</v>
      </c>
      <c r="N24" s="24">
        <v>2816778</v>
      </c>
      <c r="O24" s="24">
        <v>1510360</v>
      </c>
      <c r="P24" s="24">
        <v>3885000</v>
      </c>
      <c r="Q24" s="24">
        <v>3607000</v>
      </c>
      <c r="R24" s="24">
        <v>9989336</v>
      </c>
    </row>
    <row r="25" spans="1:20" ht="15" x14ac:dyDescent="0.25">
      <c r="A25" s="20">
        <v>2017</v>
      </c>
      <c r="B25" s="21">
        <f t="shared" si="2"/>
        <v>1.0267869300868542</v>
      </c>
      <c r="C25" s="25">
        <f t="shared" si="3"/>
        <v>1.2501673922943655</v>
      </c>
      <c r="D25" s="25">
        <f t="shared" si="4"/>
        <v>2.3835549592257976</v>
      </c>
      <c r="E25" s="25">
        <f t="shared" si="5"/>
        <v>0.22327006759367149</v>
      </c>
      <c r="F25" s="47">
        <f t="shared" si="5"/>
        <v>0.91011749933776076</v>
      </c>
      <c r="G25" s="25">
        <f t="shared" si="6"/>
        <v>0.38535693159893469</v>
      </c>
      <c r="H25" s="25">
        <f t="shared" si="7"/>
        <v>2.1637785954567335</v>
      </c>
      <c r="I25" s="26">
        <f t="shared" si="8"/>
        <v>0.57938510841694879</v>
      </c>
      <c r="J25" s="26">
        <f t="shared" si="8"/>
        <v>0.42061489158305121</v>
      </c>
      <c r="K25" s="22">
        <f t="shared" si="0"/>
        <v>0.56884312928466507</v>
      </c>
      <c r="L25" s="48">
        <f t="shared" si="1"/>
        <v>0.43115687071533493</v>
      </c>
      <c r="M25" s="23">
        <v>2947535</v>
      </c>
      <c r="N25" s="24">
        <v>2884724</v>
      </c>
      <c r="O25" s="24">
        <v>1559747</v>
      </c>
      <c r="P25" s="24">
        <v>3900000</v>
      </c>
      <c r="Q25" s="24">
        <v>3628000</v>
      </c>
      <c r="R25" s="24">
        <v>10207838.5447823</v>
      </c>
    </row>
    <row r="26" spans="1:20" ht="15" x14ac:dyDescent="0.25">
      <c r="A26" s="20">
        <v>2018</v>
      </c>
      <c r="B26" s="21">
        <f t="shared" si="2"/>
        <v>1.0155633949646206</v>
      </c>
      <c r="C26" s="25">
        <f t="shared" si="3"/>
        <v>-1.0990913721408315</v>
      </c>
      <c r="D26" s="25">
        <f t="shared" si="4"/>
        <v>0.73941033393420952</v>
      </c>
      <c r="E26" s="25">
        <f t="shared" si="5"/>
        <v>0.89782389317136135</v>
      </c>
      <c r="F26" s="47">
        <f t="shared" si="5"/>
        <v>0.9406778129036798</v>
      </c>
      <c r="G26" s="25">
        <f t="shared" si="6"/>
        <v>1.6024761072698013</v>
      </c>
      <c r="H26" s="25">
        <f t="shared" si="7"/>
        <v>2.1392308001836113</v>
      </c>
      <c r="I26" s="26">
        <f t="shared" si="8"/>
        <v>0.56027287339779286</v>
      </c>
      <c r="J26" s="26">
        <f t="shared" si="8"/>
        <v>0.43972712660220714</v>
      </c>
      <c r="K26" s="22">
        <f t="shared" si="0"/>
        <v>0.55170261751092065</v>
      </c>
      <c r="L26" s="48">
        <f t="shared" si="1"/>
        <v>0.44829738248907935</v>
      </c>
      <c r="M26" s="23">
        <v>3184225</v>
      </c>
      <c r="N26" s="24">
        <v>2906133</v>
      </c>
      <c r="O26" s="24">
        <v>1638831</v>
      </c>
      <c r="P26" s="24">
        <v>3963000</v>
      </c>
      <c r="Q26" s="24">
        <v>3697000</v>
      </c>
      <c r="R26" s="24">
        <v>10428560.226709999</v>
      </c>
    </row>
    <row r="27" spans="1:20" ht="15" x14ac:dyDescent="0.25">
      <c r="A27" s="20">
        <f>A26+1</f>
        <v>2019</v>
      </c>
      <c r="B27" s="21">
        <f t="shared" si="2"/>
        <v>1.0078111631577711</v>
      </c>
      <c r="C27" s="25">
        <f t="shared" si="3"/>
        <v>-0.76627134685702358</v>
      </c>
      <c r="D27" s="25">
        <f t="shared" si="4"/>
        <v>1.2275128187052786</v>
      </c>
      <c r="E27" s="25">
        <f t="shared" si="5"/>
        <v>0.85004068569120894</v>
      </c>
      <c r="F27" s="47">
        <f t="shared" si="5"/>
        <v>1.1437434798710933</v>
      </c>
      <c r="G27" s="25">
        <f t="shared" si="6"/>
        <v>1.5026578759353981</v>
      </c>
      <c r="H27" s="25">
        <f t="shared" si="7"/>
        <v>2.633481271670135</v>
      </c>
      <c r="I27" s="26">
        <f t="shared" si="8"/>
        <v>0.56569143203143446</v>
      </c>
      <c r="J27" s="26">
        <f t="shared" si="8"/>
        <v>0.43430856796856554</v>
      </c>
      <c r="K27" s="22">
        <f t="shared" si="0"/>
        <v>0.57968024655194827</v>
      </c>
      <c r="L27" s="48">
        <f t="shared" si="1"/>
        <v>0.42031975344805173</v>
      </c>
      <c r="M27" s="23">
        <v>3198296</v>
      </c>
      <c r="N27" s="24">
        <v>2942026</v>
      </c>
      <c r="O27" s="24">
        <v>1733247</v>
      </c>
      <c r="P27" s="24">
        <v>4023000</v>
      </c>
      <c r="Q27" s="24">
        <v>3761000</v>
      </c>
      <c r="R27" s="24">
        <v>10706842.581296699</v>
      </c>
    </row>
    <row r="28" spans="1:20" ht="15" x14ac:dyDescent="0.25">
      <c r="A28" s="20">
        <f t="shared" ref="A28:A30" si="9">A27+1</f>
        <v>2020</v>
      </c>
      <c r="B28" s="21">
        <v>1</v>
      </c>
      <c r="C28" s="25">
        <f t="shared" si="3"/>
        <v>-0.77808139620642058</v>
      </c>
      <c r="D28" s="25">
        <f t="shared" si="4"/>
        <v>-1.2494688008349186</v>
      </c>
      <c r="E28" s="25">
        <f t="shared" si="5"/>
        <v>-1.297510607379069</v>
      </c>
      <c r="F28" s="47">
        <f t="shared" si="5"/>
        <v>0.82612320275057094</v>
      </c>
      <c r="G28" s="25">
        <f t="shared" si="6"/>
        <v>-2.1862913777644266</v>
      </c>
      <c r="H28" s="25">
        <f t="shared" si="7"/>
        <v>2.0321614680767652</v>
      </c>
      <c r="I28" s="26">
        <f t="shared" si="8"/>
        <v>0.59347560923275799</v>
      </c>
      <c r="J28" s="26">
        <f t="shared" si="8"/>
        <v>0.40652439076724195</v>
      </c>
      <c r="K28" s="22">
        <f t="shared" si="0"/>
        <v>0.60727097191356783</v>
      </c>
      <c r="L28" s="48">
        <f t="shared" si="1"/>
        <v>0.39272902808643217</v>
      </c>
      <c r="M28" s="23">
        <v>3057651</v>
      </c>
      <c r="N28" s="24">
        <v>2905495</v>
      </c>
      <c r="O28" s="24">
        <v>1737469</v>
      </c>
      <c r="P28" s="24">
        <v>3936000</v>
      </c>
      <c r="Q28" s="24">
        <v>3683000</v>
      </c>
      <c r="R28" s="24">
        <v>10926648.7545016</v>
      </c>
    </row>
    <row r="29" spans="1:20" ht="15" x14ac:dyDescent="0.25">
      <c r="A29" s="20">
        <f t="shared" si="9"/>
        <v>2021</v>
      </c>
      <c r="B29" s="21">
        <f>B28*EXP(C29/100)</f>
        <v>1.0167747946800234</v>
      </c>
      <c r="C29" s="25">
        <f t="shared" si="3"/>
        <v>1.6635651718847324</v>
      </c>
      <c r="D29" s="25">
        <f t="shared" si="4"/>
        <v>3.7488806090175686</v>
      </c>
      <c r="E29" s="25">
        <f t="shared" si="5"/>
        <v>1.258516064609968</v>
      </c>
      <c r="F29" s="47">
        <f t="shared" si="5"/>
        <v>0.82679937252286795</v>
      </c>
      <c r="G29" s="25">
        <f t="shared" si="6"/>
        <v>2.2608348027592484</v>
      </c>
      <c r="H29" s="25">
        <f t="shared" si="7"/>
        <v>1.8649325061513622</v>
      </c>
      <c r="I29" s="26">
        <f t="shared" si="8"/>
        <v>0.55665989530681548</v>
      </c>
      <c r="J29" s="26">
        <f t="shared" si="8"/>
        <v>0.44334010469318452</v>
      </c>
      <c r="K29" s="22">
        <f t="shared" si="0"/>
        <v>0.50604881870006313</v>
      </c>
      <c r="L29" s="48">
        <f t="shared" si="1"/>
        <v>0.49395118129993687</v>
      </c>
      <c r="M29" s="23">
        <v>3894480</v>
      </c>
      <c r="N29" s="24">
        <v>3016486</v>
      </c>
      <c r="O29" s="24">
        <v>1844012</v>
      </c>
      <c r="P29" s="24">
        <v>4026000</v>
      </c>
      <c r="Q29" s="24">
        <v>3767000</v>
      </c>
      <c r="R29" s="24">
        <v>11132335.3758853</v>
      </c>
    </row>
    <row r="30" spans="1:20" ht="15" x14ac:dyDescent="0.25">
      <c r="A30" s="20">
        <f t="shared" si="9"/>
        <v>2022</v>
      </c>
      <c r="B30" s="27">
        <f t="shared" ref="B30" si="10">B29*EXP(C30/100)</f>
        <v>1.0269550792887079</v>
      </c>
      <c r="C30" s="28">
        <f t="shared" si="3"/>
        <v>0.99625385326069993</v>
      </c>
      <c r="D30" s="25">
        <f t="shared" si="4"/>
        <v>3.5250181252639123</v>
      </c>
      <c r="E30" s="28">
        <f t="shared" si="5"/>
        <v>1.552049033344683</v>
      </c>
      <c r="F30" s="51">
        <f t="shared" si="5"/>
        <v>0.97671523865852938</v>
      </c>
      <c r="G30" s="25">
        <f t="shared" si="6"/>
        <v>3.4183015621179536</v>
      </c>
      <c r="H30" s="25">
        <f t="shared" si="7"/>
        <v>1.7889900614068921</v>
      </c>
      <c r="I30" s="26">
        <f t="shared" si="8"/>
        <v>0.45404099232925643</v>
      </c>
      <c r="J30" s="26">
        <f t="shared" si="8"/>
        <v>0.54595900767074357</v>
      </c>
      <c r="K30" s="22">
        <f t="shared" si="0"/>
        <v>0.40203316595844968</v>
      </c>
      <c r="L30" s="48">
        <f t="shared" si="1"/>
        <v>0.59796683404155027</v>
      </c>
      <c r="M30" s="23">
        <v>5307902</v>
      </c>
      <c r="N30" s="23">
        <v>3124714</v>
      </c>
      <c r="O30" s="23">
        <v>1999236</v>
      </c>
      <c r="P30" s="24">
        <v>4166000</v>
      </c>
      <c r="Q30" s="24">
        <v>3903000</v>
      </c>
      <c r="R30" s="24">
        <v>11333283.8641939</v>
      </c>
    </row>
    <row r="31" spans="1:20" ht="15" x14ac:dyDescent="0.25">
      <c r="A31" s="19" t="s">
        <v>23</v>
      </c>
    </row>
    <row r="32" spans="1:20" ht="24.95" customHeight="1" x14ac:dyDescent="0.25">
      <c r="A32" s="46" t="s">
        <v>24</v>
      </c>
      <c r="H32" s="15"/>
      <c r="I32" s="14"/>
      <c r="J32" s="14"/>
      <c r="K32" s="14"/>
      <c r="L32" s="14"/>
      <c r="M32" s="15"/>
      <c r="N32" s="15"/>
      <c r="O32" s="15"/>
      <c r="P32" s="15"/>
      <c r="Q32" s="15"/>
      <c r="T32" s="1"/>
    </row>
    <row r="33" spans="1:36" ht="24.95" customHeight="1" x14ac:dyDescent="0.25">
      <c r="A33" s="19" t="s">
        <v>25</v>
      </c>
      <c r="T33" s="1"/>
    </row>
    <row r="34" spans="1:36" ht="24.95" customHeight="1" x14ac:dyDescent="0.25">
      <c r="A34" s="19" t="s">
        <v>5</v>
      </c>
    </row>
    <row r="35" spans="1:36" ht="24.95" customHeight="1" x14ac:dyDescent="0.2">
      <c r="Y35" s="15"/>
      <c r="Z35" s="15"/>
      <c r="AA35" s="15"/>
      <c r="AB35" s="15"/>
      <c r="AC35" s="15"/>
      <c r="AD35" s="15"/>
      <c r="AE35" s="15"/>
      <c r="AF35" s="15"/>
      <c r="AG35" s="15"/>
      <c r="AH35" s="15"/>
      <c r="AI35" s="15"/>
      <c r="AJ35" s="15"/>
    </row>
    <row r="36" spans="1:36" ht="15" x14ac:dyDescent="0.2">
      <c r="E36" s="35"/>
      <c r="F36" s="35"/>
      <c r="G36" s="35"/>
      <c r="H36" s="35"/>
      <c r="I36" s="35"/>
      <c r="J36" s="35"/>
      <c r="K36" s="14"/>
      <c r="M36" s="2"/>
      <c r="N36" s="14"/>
      <c r="Y36" s="15"/>
      <c r="Z36" s="15"/>
      <c r="AA36" s="15"/>
      <c r="AB36" s="15"/>
      <c r="AC36" s="15"/>
      <c r="AD36" s="15"/>
      <c r="AE36" s="15"/>
      <c r="AF36" s="15"/>
      <c r="AG36" s="15"/>
      <c r="AH36" s="15"/>
      <c r="AI36" s="15"/>
      <c r="AJ36" s="15"/>
    </row>
    <row r="37" spans="1:36" ht="15" x14ac:dyDescent="0.25">
      <c r="E37" s="23"/>
      <c r="F37" s="24"/>
      <c r="G37" s="24"/>
      <c r="H37" s="24"/>
      <c r="I37" s="24"/>
      <c r="J37" s="24"/>
      <c r="K37" s="14"/>
      <c r="M37" s="2"/>
      <c r="N37" s="14"/>
      <c r="Y37" s="15"/>
      <c r="Z37" s="15"/>
      <c r="AA37" s="15"/>
      <c r="AB37" s="15"/>
      <c r="AC37" s="15"/>
      <c r="AD37" s="15"/>
      <c r="AE37" s="15"/>
      <c r="AF37" s="15"/>
      <c r="AG37" s="15"/>
      <c r="AH37" s="15"/>
      <c r="AI37" s="15"/>
      <c r="AJ37" s="15"/>
    </row>
    <row r="38" spans="1:36" ht="15" x14ac:dyDescent="0.25">
      <c r="E38" s="23"/>
      <c r="F38" s="24"/>
      <c r="G38" s="24"/>
      <c r="H38" s="24"/>
      <c r="I38" s="24"/>
      <c r="J38" s="24"/>
      <c r="K38" s="14"/>
      <c r="M38" s="2"/>
      <c r="N38" s="14"/>
      <c r="Y38" s="15"/>
      <c r="Z38" s="15"/>
      <c r="AA38" s="15"/>
      <c r="AB38" s="15"/>
      <c r="AC38" s="15"/>
      <c r="AD38" s="15"/>
      <c r="AE38" s="15"/>
      <c r="AF38" s="15"/>
      <c r="AG38" s="15"/>
      <c r="AH38" s="15"/>
      <c r="AI38" s="15"/>
      <c r="AJ38" s="15"/>
    </row>
    <row r="39" spans="1:36" ht="15" x14ac:dyDescent="0.25">
      <c r="E39" s="23"/>
      <c r="F39" s="24"/>
      <c r="G39" s="24"/>
      <c r="H39" s="24"/>
      <c r="I39" s="24"/>
      <c r="J39" s="24"/>
      <c r="K39" s="14"/>
      <c r="M39" s="2"/>
      <c r="N39" s="14"/>
      <c r="Y39" s="15"/>
      <c r="Z39" s="15"/>
      <c r="AA39" s="15"/>
      <c r="AB39" s="15"/>
      <c r="AC39" s="15"/>
      <c r="AD39" s="15"/>
      <c r="AE39" s="15"/>
      <c r="AF39" s="15"/>
      <c r="AG39" s="15"/>
      <c r="AH39" s="15"/>
      <c r="AI39" s="15"/>
      <c r="AJ39" s="15"/>
    </row>
    <row r="40" spans="1:36" ht="15" x14ac:dyDescent="0.25">
      <c r="E40" s="23"/>
      <c r="F40" s="24"/>
      <c r="G40" s="24"/>
      <c r="H40" s="24"/>
      <c r="I40" s="24"/>
      <c r="J40" s="24"/>
      <c r="K40" s="14"/>
      <c r="M40" s="2"/>
      <c r="N40" s="14"/>
      <c r="Y40" s="15"/>
      <c r="Z40" s="15"/>
      <c r="AA40" s="15"/>
      <c r="AB40" s="15"/>
      <c r="AC40" s="15"/>
      <c r="AD40" s="15"/>
      <c r="AE40" s="15"/>
      <c r="AF40" s="15"/>
      <c r="AG40" s="15"/>
      <c r="AH40" s="15"/>
      <c r="AI40" s="15"/>
      <c r="AJ40" s="15"/>
    </row>
    <row r="41" spans="1:36" ht="15" x14ac:dyDescent="0.25">
      <c r="E41" s="23"/>
      <c r="F41" s="24"/>
      <c r="G41" s="24"/>
      <c r="H41" s="24"/>
      <c r="I41" s="24"/>
      <c r="J41" s="24"/>
      <c r="K41" s="14"/>
      <c r="M41" s="2"/>
      <c r="N41" s="14"/>
      <c r="Y41" s="15"/>
      <c r="Z41" s="15"/>
      <c r="AA41" s="15"/>
      <c r="AB41" s="15"/>
      <c r="AC41" s="15"/>
      <c r="AD41" s="15"/>
      <c r="AE41" s="15"/>
      <c r="AF41" s="15"/>
      <c r="AG41" s="15"/>
      <c r="AH41" s="15"/>
      <c r="AI41" s="15"/>
      <c r="AJ41" s="15"/>
    </row>
    <row r="42" spans="1:36" ht="15" x14ac:dyDescent="0.25">
      <c r="E42" s="23"/>
      <c r="F42" s="24"/>
      <c r="G42" s="24"/>
      <c r="H42" s="24"/>
      <c r="I42" s="24"/>
      <c r="J42" s="24"/>
      <c r="K42" s="14"/>
      <c r="M42" s="2"/>
      <c r="N42" s="14"/>
      <c r="Y42" s="15"/>
      <c r="Z42" s="15"/>
      <c r="AA42" s="15"/>
      <c r="AB42" s="15"/>
      <c r="AC42" s="15"/>
      <c r="AD42" s="15"/>
      <c r="AE42" s="15"/>
      <c r="AF42" s="15"/>
      <c r="AG42" s="15"/>
      <c r="AH42" s="15"/>
      <c r="AI42" s="15"/>
      <c r="AJ42" s="15"/>
    </row>
    <row r="43" spans="1:36" ht="15" x14ac:dyDescent="0.25">
      <c r="E43" s="23"/>
      <c r="F43" s="24"/>
      <c r="G43" s="24"/>
      <c r="H43" s="24"/>
      <c r="I43" s="24"/>
      <c r="J43" s="24"/>
      <c r="K43" s="14"/>
      <c r="M43" s="2"/>
      <c r="N43" s="14"/>
      <c r="Y43" s="15"/>
      <c r="Z43" s="15"/>
      <c r="AA43" s="15"/>
      <c r="AB43" s="15"/>
      <c r="AC43" s="15"/>
      <c r="AD43" s="15"/>
      <c r="AE43" s="15"/>
      <c r="AF43" s="15"/>
      <c r="AG43" s="15"/>
      <c r="AH43" s="15"/>
      <c r="AI43" s="15"/>
      <c r="AJ43" s="15"/>
    </row>
    <row r="44" spans="1:36" ht="15" x14ac:dyDescent="0.25">
      <c r="E44" s="23"/>
      <c r="F44" s="24"/>
      <c r="G44" s="24"/>
      <c r="H44" s="24"/>
      <c r="I44" s="24"/>
      <c r="J44" s="24"/>
      <c r="K44" s="14"/>
      <c r="M44" s="2"/>
      <c r="N44" s="14"/>
      <c r="Y44" s="15"/>
      <c r="Z44" s="15"/>
      <c r="AA44" s="15"/>
      <c r="AB44" s="15"/>
      <c r="AC44" s="15"/>
      <c r="AD44" s="15"/>
      <c r="AE44" s="15"/>
      <c r="AF44" s="15"/>
      <c r="AG44" s="15"/>
      <c r="AH44" s="15"/>
      <c r="AI44" s="15"/>
      <c r="AJ44" s="15"/>
    </row>
    <row r="45" spans="1:36" ht="15" x14ac:dyDescent="0.25">
      <c r="E45" s="23"/>
      <c r="F45" s="24"/>
      <c r="G45" s="24"/>
      <c r="H45" s="24"/>
      <c r="I45" s="24"/>
      <c r="J45" s="24"/>
      <c r="K45" s="14"/>
      <c r="M45" s="2"/>
      <c r="N45" s="14"/>
      <c r="Y45" s="15"/>
      <c r="Z45" s="15"/>
      <c r="AA45" s="15"/>
      <c r="AB45" s="15"/>
      <c r="AC45" s="15"/>
      <c r="AD45" s="15"/>
      <c r="AE45" s="15"/>
      <c r="AF45" s="15"/>
      <c r="AG45" s="15"/>
      <c r="AH45" s="15"/>
      <c r="AI45" s="15"/>
      <c r="AJ45" s="15"/>
    </row>
    <row r="46" spans="1:36" ht="15" x14ac:dyDescent="0.25">
      <c r="E46" s="23"/>
      <c r="F46" s="24"/>
      <c r="G46" s="24"/>
      <c r="H46" s="24"/>
      <c r="I46" s="24"/>
      <c r="J46" s="24"/>
      <c r="K46" s="14"/>
      <c r="M46" s="2"/>
      <c r="N46" s="14"/>
      <c r="Y46" s="15"/>
      <c r="Z46" s="15"/>
      <c r="AA46" s="15"/>
      <c r="AB46" s="15"/>
      <c r="AC46" s="15"/>
      <c r="AD46" s="15"/>
      <c r="AE46" s="15"/>
      <c r="AF46" s="15"/>
      <c r="AG46" s="15"/>
      <c r="AH46" s="15"/>
      <c r="AI46" s="15"/>
      <c r="AJ46" s="15"/>
    </row>
    <row r="47" spans="1:36" ht="15" x14ac:dyDescent="0.25">
      <c r="E47" s="23"/>
      <c r="F47" s="24"/>
      <c r="G47" s="24"/>
      <c r="H47" s="24"/>
      <c r="I47" s="24"/>
      <c r="J47" s="24"/>
      <c r="K47" s="14"/>
      <c r="M47" s="2"/>
      <c r="N47" s="14"/>
      <c r="Y47" s="15"/>
      <c r="Z47" s="15"/>
      <c r="AA47" s="15"/>
      <c r="AB47" s="15"/>
      <c r="AC47" s="15"/>
      <c r="AD47" s="15"/>
      <c r="AE47" s="15"/>
      <c r="AF47" s="15"/>
      <c r="AG47" s="15"/>
      <c r="AH47" s="15"/>
      <c r="AI47" s="15"/>
      <c r="AJ47" s="15"/>
    </row>
    <row r="48" spans="1:36" ht="15" x14ac:dyDescent="0.25">
      <c r="E48" s="23"/>
      <c r="F48" s="24"/>
      <c r="G48" s="24"/>
      <c r="H48" s="24"/>
      <c r="I48" s="24"/>
      <c r="J48" s="24"/>
      <c r="K48" s="14"/>
      <c r="M48" s="2"/>
      <c r="N48" s="14"/>
      <c r="Y48" s="15"/>
      <c r="Z48" s="15"/>
      <c r="AA48" s="15"/>
      <c r="AB48" s="15"/>
      <c r="AC48" s="15"/>
      <c r="AD48" s="15"/>
      <c r="AE48" s="15"/>
      <c r="AF48" s="15"/>
      <c r="AG48" s="15"/>
      <c r="AH48" s="15"/>
      <c r="AI48" s="15"/>
      <c r="AJ48" s="15"/>
    </row>
    <row r="49" spans="5:36" ht="15" x14ac:dyDescent="0.25">
      <c r="E49" s="23"/>
      <c r="F49" s="24"/>
      <c r="G49" s="24"/>
      <c r="H49" s="24"/>
      <c r="I49" s="24"/>
      <c r="J49" s="24"/>
      <c r="K49" s="14"/>
      <c r="M49" s="2"/>
      <c r="N49" s="14"/>
      <c r="Y49" s="15"/>
      <c r="Z49" s="15"/>
      <c r="AA49" s="15"/>
      <c r="AB49" s="15"/>
      <c r="AC49" s="15"/>
      <c r="AD49" s="15"/>
      <c r="AE49" s="15"/>
      <c r="AF49" s="15"/>
      <c r="AG49" s="15"/>
      <c r="AH49" s="15"/>
      <c r="AI49" s="15"/>
      <c r="AJ49" s="15"/>
    </row>
    <row r="50" spans="5:36" ht="15" x14ac:dyDescent="0.25">
      <c r="E50" s="23"/>
      <c r="F50" s="24"/>
      <c r="G50" s="24"/>
      <c r="H50" s="24"/>
      <c r="I50" s="24"/>
      <c r="J50" s="24"/>
      <c r="K50" s="14"/>
      <c r="M50" s="2"/>
      <c r="N50" s="14"/>
      <c r="Y50" s="15"/>
      <c r="Z50" s="15"/>
      <c r="AA50" s="15"/>
      <c r="AB50" s="15"/>
      <c r="AC50" s="15"/>
      <c r="AD50" s="15"/>
      <c r="AE50" s="15"/>
      <c r="AF50" s="15"/>
      <c r="AG50" s="15"/>
      <c r="AH50" s="15"/>
      <c r="AI50" s="15"/>
      <c r="AJ50" s="15"/>
    </row>
    <row r="51" spans="5:36" ht="15" x14ac:dyDescent="0.25">
      <c r="E51" s="23"/>
      <c r="F51" s="24"/>
      <c r="G51" s="24"/>
      <c r="H51" s="24"/>
      <c r="I51" s="24"/>
      <c r="J51" s="24"/>
      <c r="K51" s="14"/>
      <c r="M51" s="2"/>
      <c r="N51" s="14"/>
      <c r="Y51" s="15"/>
      <c r="Z51" s="15"/>
      <c r="AA51" s="15"/>
      <c r="AB51" s="15"/>
      <c r="AC51" s="15"/>
      <c r="AD51" s="15"/>
      <c r="AE51" s="15"/>
      <c r="AF51" s="15"/>
      <c r="AG51" s="15"/>
      <c r="AH51" s="15"/>
      <c r="AI51" s="15"/>
      <c r="AJ51" s="15"/>
    </row>
    <row r="52" spans="5:36" ht="15" x14ac:dyDescent="0.25">
      <c r="E52" s="23"/>
      <c r="F52" s="24"/>
      <c r="G52" s="24"/>
      <c r="H52" s="24"/>
      <c r="I52" s="24"/>
      <c r="J52" s="24"/>
      <c r="K52" s="14"/>
      <c r="M52" s="2"/>
      <c r="N52" s="14"/>
      <c r="Y52" s="15"/>
      <c r="Z52" s="15"/>
      <c r="AA52" s="15"/>
      <c r="AB52" s="15"/>
      <c r="AC52" s="15"/>
      <c r="AD52" s="15"/>
      <c r="AE52" s="15"/>
      <c r="AF52" s="15"/>
      <c r="AG52" s="15"/>
      <c r="AH52" s="15"/>
      <c r="AI52" s="15"/>
      <c r="AJ52" s="15"/>
    </row>
    <row r="53" spans="5:36" ht="15" x14ac:dyDescent="0.25">
      <c r="E53" s="23"/>
      <c r="F53" s="24"/>
      <c r="G53" s="24"/>
      <c r="H53" s="24"/>
      <c r="I53" s="24"/>
      <c r="J53" s="24"/>
      <c r="K53" s="14"/>
      <c r="M53" s="2"/>
      <c r="N53" s="14"/>
      <c r="Y53" s="15"/>
      <c r="Z53" s="15"/>
      <c r="AA53" s="15"/>
      <c r="AB53" s="15"/>
      <c r="AC53" s="15"/>
      <c r="AD53" s="15"/>
      <c r="AE53" s="15"/>
      <c r="AF53" s="15"/>
      <c r="AG53" s="15"/>
      <c r="AH53" s="15"/>
      <c r="AI53" s="15"/>
      <c r="AJ53" s="15"/>
    </row>
    <row r="54" spans="5:36" ht="15" x14ac:dyDescent="0.25">
      <c r="E54" s="23"/>
      <c r="F54" s="24"/>
      <c r="G54" s="24"/>
      <c r="H54" s="24"/>
      <c r="I54" s="24"/>
      <c r="J54" s="24"/>
      <c r="K54" s="14"/>
      <c r="M54" s="2"/>
      <c r="N54" s="14"/>
      <c r="Y54" s="15"/>
      <c r="Z54" s="15"/>
      <c r="AA54" s="15"/>
      <c r="AB54" s="15"/>
      <c r="AC54" s="15"/>
      <c r="AD54" s="15"/>
      <c r="AE54" s="15"/>
      <c r="AF54" s="15"/>
      <c r="AG54" s="15"/>
      <c r="AH54" s="15"/>
      <c r="AI54" s="15"/>
      <c r="AJ54" s="15"/>
    </row>
    <row r="55" spans="5:36" ht="15" x14ac:dyDescent="0.25">
      <c r="E55" s="23"/>
      <c r="F55" s="24"/>
      <c r="G55" s="24"/>
      <c r="H55" s="24"/>
      <c r="I55" s="24"/>
      <c r="J55" s="24"/>
      <c r="K55" s="14"/>
      <c r="M55" s="2"/>
      <c r="N55" s="14"/>
      <c r="Y55" s="15"/>
      <c r="Z55" s="15"/>
      <c r="AA55" s="15"/>
      <c r="AB55" s="15"/>
      <c r="AC55" s="15"/>
      <c r="AD55" s="15"/>
      <c r="AE55" s="15"/>
      <c r="AF55" s="15"/>
      <c r="AG55" s="15"/>
      <c r="AH55" s="15"/>
      <c r="AI55" s="15"/>
      <c r="AJ55" s="15"/>
    </row>
    <row r="56" spans="5:36" ht="15" x14ac:dyDescent="0.25">
      <c r="E56" s="23"/>
      <c r="F56" s="24"/>
      <c r="G56" s="24"/>
      <c r="H56" s="24"/>
      <c r="I56" s="24"/>
      <c r="J56" s="24"/>
      <c r="K56" s="14"/>
      <c r="M56" s="2"/>
      <c r="N56" s="14"/>
      <c r="Y56" s="15"/>
      <c r="Z56" s="15"/>
      <c r="AA56" s="15"/>
      <c r="AB56" s="15"/>
      <c r="AC56" s="15"/>
      <c r="AD56" s="15"/>
      <c r="AE56" s="15"/>
      <c r="AF56" s="15"/>
      <c r="AG56" s="15"/>
      <c r="AH56" s="15"/>
      <c r="AI56" s="15"/>
      <c r="AJ56" s="15"/>
    </row>
    <row r="57" spans="5:36" ht="15" x14ac:dyDescent="0.25">
      <c r="E57" s="23"/>
      <c r="F57" s="24"/>
      <c r="G57" s="24"/>
      <c r="H57" s="24"/>
      <c r="I57" s="24"/>
      <c r="J57" s="24"/>
      <c r="Y57" s="15"/>
      <c r="Z57" s="15"/>
      <c r="AA57" s="15"/>
      <c r="AB57" s="15"/>
      <c r="AC57" s="15"/>
      <c r="AD57" s="15"/>
      <c r="AE57" s="15"/>
      <c r="AF57" s="15"/>
      <c r="AG57" s="15"/>
      <c r="AH57" s="15"/>
      <c r="AI57" s="15"/>
      <c r="AJ57" s="15"/>
    </row>
    <row r="58" spans="5:36" ht="15" x14ac:dyDescent="0.25">
      <c r="E58" s="23"/>
      <c r="F58" s="24"/>
      <c r="G58" s="24"/>
      <c r="H58" s="24"/>
      <c r="I58" s="24"/>
      <c r="J58" s="24"/>
      <c r="Y58" s="15"/>
    </row>
    <row r="59" spans="5:36" ht="15" x14ac:dyDescent="0.25">
      <c r="E59" s="23"/>
      <c r="F59" s="24"/>
      <c r="G59" s="24"/>
      <c r="H59" s="24"/>
      <c r="I59" s="24"/>
      <c r="J59" s="24"/>
      <c r="Y59" s="15"/>
    </row>
    <row r="60" spans="5:36" ht="15" x14ac:dyDescent="0.25">
      <c r="E60" s="23"/>
      <c r="F60" s="24"/>
      <c r="G60" s="24"/>
      <c r="H60" s="24"/>
      <c r="I60" s="24"/>
      <c r="J60" s="24"/>
      <c r="Y60" s="15"/>
    </row>
    <row r="61" spans="5:36" ht="15" x14ac:dyDescent="0.25">
      <c r="E61" s="23"/>
      <c r="F61" s="24"/>
      <c r="G61" s="24"/>
      <c r="H61" s="24"/>
      <c r="I61" s="24"/>
      <c r="J61" s="24"/>
      <c r="Y61" s="15"/>
    </row>
    <row r="62" spans="5:36" ht="15" x14ac:dyDescent="0.25">
      <c r="E62" s="23"/>
      <c r="F62" s="24"/>
      <c r="G62" s="24"/>
      <c r="H62" s="24"/>
      <c r="I62" s="24"/>
      <c r="J62" s="24"/>
      <c r="Y62" s="15"/>
    </row>
    <row r="63" spans="5:36" ht="15" x14ac:dyDescent="0.25">
      <c r="E63" s="23"/>
      <c r="F63" s="24"/>
      <c r="G63" s="24"/>
      <c r="H63" s="24"/>
      <c r="I63" s="24"/>
      <c r="J63" s="24"/>
      <c r="Y63" s="15"/>
    </row>
    <row r="64" spans="5:36" ht="15.75" thickBot="1" x14ac:dyDescent="0.3">
      <c r="E64" s="23"/>
      <c r="F64" s="29"/>
      <c r="G64" s="30"/>
      <c r="H64" s="24"/>
      <c r="I64" s="24"/>
      <c r="J64" s="24"/>
      <c r="Y64" s="15"/>
    </row>
    <row r="65" spans="25:25" x14ac:dyDescent="0.2">
      <c r="Y65" s="15"/>
    </row>
    <row r="66" spans="25:25" x14ac:dyDescent="0.2">
      <c r="Y66" s="15"/>
    </row>
    <row r="67" spans="25:25" x14ac:dyDescent="0.2">
      <c r="Y67" s="15"/>
    </row>
    <row r="68" spans="25:25" x14ac:dyDescent="0.2">
      <c r="Y68" s="15"/>
    </row>
    <row r="69" spans="25:25" x14ac:dyDescent="0.2">
      <c r="Y69" s="15"/>
    </row>
    <row r="70" spans="25:25" x14ac:dyDescent="0.2">
      <c r="Y70" s="15"/>
    </row>
    <row r="71" spans="25:25" x14ac:dyDescent="0.2">
      <c r="Y71" s="15"/>
    </row>
    <row r="72" spans="25:25" x14ac:dyDescent="0.2">
      <c r="Y72" s="15"/>
    </row>
    <row r="73" spans="25:25" x14ac:dyDescent="0.2">
      <c r="Y73" s="15"/>
    </row>
    <row r="74" spans="25:25" x14ac:dyDescent="0.2">
      <c r="Y74" s="15"/>
    </row>
    <row r="75" spans="25:25" x14ac:dyDescent="0.2">
      <c r="Y75" s="15"/>
    </row>
    <row r="76" spans="25:25" x14ac:dyDescent="0.2">
      <c r="Y76" s="15"/>
    </row>
    <row r="77" spans="25:25" x14ac:dyDescent="0.2">
      <c r="Y77" s="15"/>
    </row>
    <row r="78" spans="25:25" x14ac:dyDescent="0.2">
      <c r="Y78" s="15"/>
    </row>
    <row r="79" spans="25:25" x14ac:dyDescent="0.2">
      <c r="Y79" s="15"/>
    </row>
    <row r="80" spans="25:25" x14ac:dyDescent="0.2">
      <c r="Y80" s="15"/>
    </row>
    <row r="81" spans="25:25" x14ac:dyDescent="0.2">
      <c r="Y81" s="15"/>
    </row>
    <row r="82" spans="25:25" x14ac:dyDescent="0.2">
      <c r="Y82" s="15"/>
    </row>
    <row r="83" spans="25:25" x14ac:dyDescent="0.2">
      <c r="Y83" s="15"/>
    </row>
    <row r="84" spans="25:25" x14ac:dyDescent="0.2">
      <c r="Y84" s="15"/>
    </row>
    <row r="85" spans="25:25" x14ac:dyDescent="0.2">
      <c r="Y85" s="15"/>
    </row>
    <row r="86" spans="25:25" x14ac:dyDescent="0.2">
      <c r="Y86" s="15"/>
    </row>
    <row r="87" spans="25:25" x14ac:dyDescent="0.2">
      <c r="Y87" s="15"/>
    </row>
    <row r="88" spans="25:25" x14ac:dyDescent="0.2">
      <c r="Y88" s="15"/>
    </row>
    <row r="89" spans="25:25" x14ac:dyDescent="0.2">
      <c r="Y89" s="15"/>
    </row>
    <row r="90" spans="25:25" x14ac:dyDescent="0.2">
      <c r="Y90" s="15"/>
    </row>
    <row r="91" spans="25:25" x14ac:dyDescent="0.2">
      <c r="Y91" s="15"/>
    </row>
    <row r="92" spans="25:25" x14ac:dyDescent="0.2">
      <c r="Y92" s="15"/>
    </row>
    <row r="93" spans="25:25" x14ac:dyDescent="0.2">
      <c r="Y93" s="15"/>
    </row>
    <row r="94" spans="25:25" x14ac:dyDescent="0.2">
      <c r="Y94" s="15"/>
    </row>
    <row r="95" spans="25:25" x14ac:dyDescent="0.2">
      <c r="Y95" s="15"/>
    </row>
    <row r="96" spans="25:25" x14ac:dyDescent="0.2">
      <c r="Y96" s="15"/>
    </row>
    <row r="97" spans="25:25" x14ac:dyDescent="0.2">
      <c r="Y97" s="15"/>
    </row>
    <row r="98" spans="25:25" x14ac:dyDescent="0.2">
      <c r="Y98" s="15"/>
    </row>
    <row r="99" spans="25:25" x14ac:dyDescent="0.2">
      <c r="Y99" s="15"/>
    </row>
    <row r="100" spans="25:25" x14ac:dyDescent="0.2">
      <c r="Y100" s="15"/>
    </row>
    <row r="101" spans="25:25" x14ac:dyDescent="0.2">
      <c r="Y101" s="15"/>
    </row>
    <row r="102" spans="25:25" x14ac:dyDescent="0.2">
      <c r="Y102" s="15"/>
    </row>
    <row r="103" spans="25:25" x14ac:dyDescent="0.2">
      <c r="Y103" s="15"/>
    </row>
    <row r="104" spans="25:25" x14ac:dyDescent="0.2">
      <c r="Y104" s="15"/>
    </row>
    <row r="105" spans="25:25" x14ac:dyDescent="0.2">
      <c r="Y105" s="15"/>
    </row>
    <row r="106" spans="25:25" x14ac:dyDescent="0.2">
      <c r="Y106" s="15"/>
    </row>
    <row r="107" spans="25:25" x14ac:dyDescent="0.2">
      <c r="Y107" s="15"/>
    </row>
    <row r="108" spans="25:25" x14ac:dyDescent="0.2">
      <c r="Y108" s="15"/>
    </row>
    <row r="109" spans="25:25" x14ac:dyDescent="0.2">
      <c r="Y109" s="15"/>
    </row>
    <row r="110" spans="25:25" x14ac:dyDescent="0.2">
      <c r="Y110" s="15"/>
    </row>
    <row r="111" spans="25:25" x14ac:dyDescent="0.2">
      <c r="Y111" s="15"/>
    </row>
    <row r="112" spans="25:25" x14ac:dyDescent="0.2">
      <c r="Y112" s="15"/>
    </row>
    <row r="113" spans="25:25" x14ac:dyDescent="0.2">
      <c r="Y113" s="15"/>
    </row>
    <row r="114" spans="25:25" x14ac:dyDescent="0.2">
      <c r="Y114" s="15"/>
    </row>
  </sheetData>
  <pageMargins left="0.7" right="0.7" top="0.78740157499999996" bottom="0.78740157499999996" header="0.3" footer="0.3"/>
  <pageSetup paperSize="9" orientation="portrait"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Intro</vt:lpstr>
      <vt:lpstr>Cross country comparisons</vt:lpstr>
      <vt:lpstr>European Union</vt:lpstr>
      <vt:lpstr>Euro area</vt:lpstr>
      <vt:lpstr>Belgium</vt:lpstr>
      <vt:lpstr>Bulgaria</vt:lpstr>
      <vt:lpstr>Czechia</vt:lpstr>
      <vt:lpstr>Denmark</vt:lpstr>
      <vt:lpstr>Germany</vt:lpstr>
      <vt:lpstr>Estonia</vt:lpstr>
      <vt:lpstr>Ireland</vt:lpstr>
      <vt:lpstr>Greece</vt:lpstr>
      <vt:lpstr>Spain</vt:lpstr>
      <vt:lpstr>France</vt:lpstr>
      <vt:lpstr>Croatia</vt:lpstr>
      <vt:lpstr>Italy</vt:lpstr>
      <vt:lpstr>Cyprus</vt:lpstr>
      <vt:lpstr>Latvia</vt:lpstr>
      <vt:lpstr>Lithuania</vt:lpstr>
      <vt:lpstr>Luxembourg</vt:lpstr>
      <vt:lpstr>Hungary</vt:lpstr>
      <vt:lpstr>Malta</vt:lpstr>
      <vt:lpstr>Netherlands</vt:lpstr>
      <vt:lpstr>Austria</vt:lpstr>
      <vt:lpstr>Poland</vt:lpstr>
      <vt:lpstr>Portugal</vt:lpstr>
      <vt:lpstr>Romania</vt:lpstr>
      <vt:lpstr>Slovenia</vt:lpstr>
      <vt:lpstr>Slovakia</vt:lpstr>
      <vt:lpstr>Finland</vt:lpstr>
      <vt:lpstr>Sweden</vt:lpstr>
      <vt:lpstr>Norway</vt:lpstr>
      <vt:lpstr>Euro_area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Multi factor productivity (MFP)</dc:title>
  <dc:subject/>
  <dc:creator>N. Di Veroli</dc:creator>
  <cp:keywords/>
  <dc:description/>
  <cp:lastModifiedBy>FIASSE Isabelle (ESTAT)</cp:lastModifiedBy>
  <cp:revision/>
  <dcterms:created xsi:type="dcterms:W3CDTF">2021-07-27T06:49:25Z</dcterms:created>
  <dcterms:modified xsi:type="dcterms:W3CDTF">2025-09-25T14:08:59Z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2024-03-05T16:02:26Z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69d7845b-bd6e-45e0-b6d7-f0c56b062d1f</vt:lpwstr>
  </property>
  <property fmtid="{D5CDD505-2E9C-101B-9397-08002B2CF9AE}" pid="8" name="MSIP_Label_6bd9ddd1-4d20-43f6-abfa-fc3c07406f94_ContentBits">
    <vt:lpwstr>0</vt:lpwstr>
  </property>
</Properties>
</file>